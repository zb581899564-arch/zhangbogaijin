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341c8b7b3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8a1f948e004723"/>
    <x:sheet xmlns:r="http://schemas.openxmlformats.org/officeDocument/2006/relationships" name="输入_工件" sheetId="2" r:id="R5f54a2e3bf8c4d19"/>
    <x:sheet xmlns:r="http://schemas.openxmlformats.org/officeDocument/2006/relationships" name="输入_机器" sheetId="3" r:id="R37aba87641384895"/>
    <x:sheet xmlns:r="http://schemas.openxmlformats.org/officeDocument/2006/relationships" name="输入_工人" sheetId="4" r:id="R70dab918a9db4b83"/>
    <x:sheet xmlns:r="http://schemas.openxmlformats.org/officeDocument/2006/relationships" name="X0编码" sheetId="5" r:id="R6aeae8bc0af741d7"/>
    <x:sheet xmlns:r="http://schemas.openxmlformats.org/officeDocument/2006/relationships" name="FM0手算" sheetId="6" r:id="Rc3789973321146fb"/>
    <x:sheet xmlns:r="http://schemas.openxmlformats.org/officeDocument/2006/relationships" name="FM3手算" sheetId="7" r:id="R1bc8b287f5fc43b1"/>
    <x:sheet xmlns:r="http://schemas.openxmlformats.org/officeDocument/2006/relationships" name="目标汇总" sheetId="8" r:id="R1433e23ad6984f4d"/>
    <x:sheet xmlns:r="http://schemas.openxmlformats.org/officeDocument/2006/relationships" name="约束检查" sheetId="9" r:id="Rcc1935f63c364fbb"/>
    <x:sheet xmlns:r="http://schemas.openxmlformats.org/officeDocument/2006/relationships" name="后续进化" sheetId="10" r:id="R1725019af225444e"/>
    <x:sheet xmlns:r="http://schemas.openxmlformats.org/officeDocument/2006/relationships" name="提交页" sheetId="11" r:id="R2693749a6c29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00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7"/>
      <x:name val="Carlito"/>
    </x:font>
    <x:font>
      <x:i/>
      <x:sz val="8"/>
      <x:color rgb="FF555555"/>
      <x:name val="Carlito"/>
    </x:font>
    <x:font>
      <x:b/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2B6F7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CE"/>
      </x:left>
      <x:right style="thin">
        <x:color rgb="FFB7C9CE"/>
      </x:right>
      <x:top style="thin">
        <x:color rgb="FFB7C9CE"/>
      </x:top>
      <x:bottom style="thin">
        <x:color rgb="FFB7C9C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vertical="center"/>
    </x:xf>
    <x:xf numFmtId="202" fontId="4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94120d07c4b9c" /><Relationship Type="http://schemas.openxmlformats.org/officeDocument/2006/relationships/theme" Target="/xl/theme/theme1.xml" Id="Re35ba78bfd474a5b" /><Relationship Type="http://schemas.openxmlformats.org/officeDocument/2006/relationships/sharedStrings" Target="/xl/sharedStrings.xml" Id="Rfc6843954bf34b20" /><Relationship Type="http://schemas.openxmlformats.org/officeDocument/2006/relationships/worksheet" Target="/xl/worksheets/sheet1.xml" Id="R3c8a1f948e004723" /><Relationship Type="http://schemas.openxmlformats.org/officeDocument/2006/relationships/worksheet" Target="/xl/worksheets/sheet2.xml" Id="R5f54a2e3bf8c4d19" /><Relationship Type="http://schemas.openxmlformats.org/officeDocument/2006/relationships/worksheet" Target="/xl/worksheets/sheet3.xml" Id="R37aba87641384895" /><Relationship Type="http://schemas.openxmlformats.org/officeDocument/2006/relationships/worksheet" Target="/xl/worksheets/sheet4.xml" Id="R70dab918a9db4b83" /><Relationship Type="http://schemas.openxmlformats.org/officeDocument/2006/relationships/worksheet" Target="/xl/worksheets/sheet5.xml" Id="R6aeae8bc0af741d7" /><Relationship Type="http://schemas.openxmlformats.org/officeDocument/2006/relationships/worksheet" Target="/xl/worksheets/sheet6.xml" Id="Rc3789973321146fb" /><Relationship Type="http://schemas.openxmlformats.org/officeDocument/2006/relationships/worksheet" Target="/xl/worksheets/sheet7.xml" Id="R1bc8b287f5fc43b1" /><Relationship Type="http://schemas.openxmlformats.org/officeDocument/2006/relationships/worksheet" Target="/xl/worksheets/sheet8.xml" Id="R1433e23ad6984f4d" /><Relationship Type="http://schemas.openxmlformats.org/officeDocument/2006/relationships/worksheet" Target="/xl/worksheets/sheet9.xml" Id="Rcc1935f63c364fbb" /><Relationship Type="http://schemas.openxmlformats.org/officeDocument/2006/relationships/worksheet" Target="/xl/worksheets/sheet10.xml" Id="R1725019af225444e" /><Relationship Type="http://schemas.openxmlformats.org/officeDocument/2006/relationships/worksheet" Target="/xl/worksheets/sheet11.xml" Id="R2693749a6c294f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23" t="str">
        <x:v>I0 本人手算空白题包（无程序答案）</x:v>
      </x:c>
      <x:c r="B1" s="23" t="str">
        <x:v>I0 本人手算空白题包（无程序答案）</x:v>
      </x:c>
      <x:c r="C1" s="23" t="str">
        <x:v>I0 本人手算空白题包（无程序答案）</x:v>
      </x:c>
      <x:c r="D1" s="23" t="str">
        <x:v>I0 本人手算空白题包（无程序答案）</x:v>
      </x:c>
      <x:c r="E1" s="23" t="str">
        <x:v>I0 本人手算空白题包（无程序答案）</x:v>
      </x:c>
      <x:c r="F1" s="23" t="str">
        <x:v>I0 本人手算空白题包（无程序答案）</x:v>
      </x:c>
      <x:c r="G1" s="23" t="str">
        <x:v>I0 本人手算空白题包（无程序答案）</x:v>
      </x:c>
      <x:c r="H1" s="23" t="str">
        <x:v>I0 本人手算空白题包（无程序答案）</x:v>
      </x:c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5" t="str">
        <x:v>算例</x:v>
      </x:c>
      <x:c r="B3" s="26" t="str">
        <x:v>I0：5工件 × 2工厂 × 2阶段</x:v>
      </x:c>
      <x:c r="C3" s="24"/>
      <x:c r="D3" s="24"/>
      <x:c r="E3" s="24"/>
      <x:c r="F3" s="24"/>
      <x:c r="G3" s="24"/>
      <x:c r="H3" s="24"/>
    </x:row>
    <x:row r="4">
      <x:c r="A4" s="25" t="str">
        <x:v>当前状态</x:v>
      </x:c>
      <x:c r="B4" s="26" t="str">
        <x:v>INPUT_ONLY / NOT_GENERATED</x:v>
      </x:c>
      <x:c r="C4" s="24"/>
      <x:c r="D4" s="24"/>
      <x:c r="E4" s="24"/>
      <x:c r="F4" s="24"/>
      <x:c r="G4" s="24"/>
      <x:c r="H4" s="24"/>
    </x:row>
    <x:row r="5">
      <x:c r="A5" s="25" t="str">
        <x:v>用途</x:v>
      </x:c>
      <x:c r="B5" s="26" t="str">
        <x:v>由学生本人完成FM0、FM3手算，封存后再运行Java对照</x:v>
      </x:c>
      <x:c r="C5" s="24"/>
      <x:c r="D5" s="24"/>
      <x:c r="E5" s="24"/>
      <x:c r="F5" s="24"/>
      <x:c r="G5" s="24"/>
      <x:c r="H5" s="24"/>
    </x:row>
    <x:row r="6">
      <x:c r="A6" s="25" t="str">
        <x:v>禁止事项</x:v>
      </x:c>
      <x:c r="B6" s="26" t="str">
        <x:v>手算提交前禁止生成程序答案、甘特图或目标结果</x:v>
      </x:c>
      <x:c r="C6" s="24"/>
      <x:c r="D6" s="24"/>
      <x:c r="E6" s="24"/>
      <x:c r="F6" s="24"/>
      <x:c r="G6" s="24"/>
      <x:c r="H6" s="24"/>
    </x:row>
    <x:row r="7">
      <x:c r="A7" s="25" t="str">
        <x:v>编号</x:v>
      </x:c>
      <x:c r="B7" s="26" t="str">
        <x:v>全部使用1基编号；第二阶段资源动态选择</x:v>
      </x:c>
      <x:c r="C7" s="24"/>
      <x:c r="D7" s="24"/>
      <x:c r="E7" s="24"/>
      <x:c r="F7" s="24"/>
      <x:c r="G7" s="24"/>
      <x:c r="H7" s="24"/>
    </x:row>
    <x:row r="8">
      <x:c r="A8" s="25" t="str">
        <x:v>精度</x:v>
      </x:c>
      <x:c r="B8" s="26" t="str">
        <x:v>中间值至少保留12位小数；最终论文展示值另行舍入</x:v>
      </x:c>
      <x:c r="C8" s="24"/>
      <x:c r="D8" s="24"/>
      <x:c r="E8" s="24"/>
      <x:c r="F8" s="24"/>
      <x:c r="G8" s="24"/>
      <x:c r="H8" s="24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 ht="32" customHeight="1">
      <x:c r="A10" s="13" t="str">
        <x:v>步骤</x:v>
      </x:c>
      <x:c r="B10" s="13" t="str">
        <x:v>本人操作</x:v>
      </x:c>
      <x:c r="C10" s="13" t="str">
        <x:v>当前状态</x:v>
      </x:c>
      <x:c r="D10" s="13" t="str">
        <x:v>说明</x:v>
      </x:c>
      <x:c r="E10" s="24"/>
      <x:c r="F10" s="24"/>
      <x:c r="G10" s="24"/>
      <x:c r="H10" s="24"/>
    </x:row>
    <x:row r="11">
      <x:c r="A11" s="21" t="n">
        <x:v>1</x:v>
      </x:c>
      <x:c r="B11" s="22" t="str">
        <x:v>阅读全部冻结输入和X0</x:v>
      </x:c>
      <x:c r="C11" s="22" t="str">
        <x:v>待完成</x:v>
      </x:c>
      <x:c r="D11" s="21" t="str">
        <x:v>蓝色单元格不可改</x:v>
      </x:c>
      <x:c r="E11" s="24"/>
      <x:c r="F11" s="24"/>
      <x:c r="G11" s="24"/>
      <x:c r="H11" s="24"/>
    </x:row>
    <x:row r="12">
      <x:c r="A12" s="21" t="n">
        <x:v>2</x:v>
      </x:c>
      <x:c r="B12" s="22" t="str">
        <x:v>完成FM0逐工序手算</x:v>
      </x:c>
      <x:c r="C12" s="22" t="str">
        <x:v>待完成</x:v>
      </x:c>
      <x:c r="D12" s="21" t="str">
        <x:v>黄色单元格由本人填写</x:v>
      </x:c>
      <x:c r="E12" s="24"/>
      <x:c r="F12" s="24"/>
      <x:c r="G12" s="24"/>
      <x:c r="H12" s="24"/>
    </x:row>
    <x:row r="13">
      <x:c r="A13" s="21" t="n">
        <x:v>3</x:v>
      </x:c>
      <x:c r="B13" s="22" t="str">
        <x:v>完成FM3逐工序手算</x:v>
      </x:c>
      <x:c r="C13" s="22" t="str">
        <x:v>待完成</x:v>
      </x:c>
      <x:c r="D13" s="21" t="str">
        <x:v>不得查看程序答案</x:v>
      </x:c>
      <x:c r="E13" s="24"/>
      <x:c r="F13" s="24"/>
      <x:c r="G13" s="24"/>
      <x:c r="H13" s="24"/>
    </x:row>
    <x:row r="14">
      <x:c r="A14" s="21" t="n">
        <x:v>4</x:v>
      </x:c>
      <x:c r="B14" s="22" t="str">
        <x:v>汇总目标并检查约束</x:v>
      </x:c>
      <x:c r="C14" s="22" t="str">
        <x:v>待完成</x:v>
      </x:c>
      <x:c r="D14" s="21" t="str">
        <x:v>保留至少12位小数</x:v>
      </x:c>
      <x:c r="E14" s="24"/>
      <x:c r="F14" s="24"/>
      <x:c r="G14" s="24"/>
      <x:c r="H14" s="24"/>
    </x:row>
    <x:row r="15">
      <x:c r="A15" s="21" t="n">
        <x:v>5</x:v>
      </x:c>
      <x:c r="B15" s="22" t="str">
        <x:v>保存不可修改的提交副本</x:v>
      </x:c>
      <x:c r="C15" s="22" t="str">
        <x:v>待完成</x:v>
      </x:c>
      <x:c r="D15" s="21" t="str">
        <x:v>提交后计算SHA-256</x:v>
      </x:c>
      <x:c r="E15" s="24"/>
      <x:c r="F15" s="24"/>
      <x:c r="G15" s="24"/>
      <x:c r="H15" s="24"/>
    </x:row>
    <x:row r="16">
      <x:c r="A16" s="16" t="n">
        <x:v>6</x:v>
      </x:c>
      <x:c r="B16" s="17" t="str">
        <x:v>申请解除答案锁</x:v>
      </x:c>
      <x:c r="C16" s="18" t="str">
        <x:v>禁止提前</x:v>
      </x:c>
      <x:c r="D16" s="16" t="str">
        <x:v>需本人提交且P8.4解码语义冻结</x:v>
      </x:c>
    </x:row>
    <x:row r="17">
      <x:c r="A17" s="16" t="n">
        <x:v>7</x:v>
      </x:c>
      <x:c r="B17" s="17" t="str">
        <x:v>程序对照与误差分析</x:v>
      </x:c>
      <x:c r="C17" s="18" t="str">
        <x:v>尚未开始</x:v>
      </x:c>
      <x:c r="D17" s="16" t="str">
        <x:v>不属于当前题包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30" customHeight="1">
      <x:c r="A1" s="4" t="str">
        <x:v>I0 工件加工时间与设置时间（冻结输入）</x:v>
      </x:c>
      <x:c r="B1" s="4" t="str">
        <x:v>I0 工件加工时间与设置时间（冻结输入）</x:v>
      </x:c>
      <x:c r="C1" s="4" t="str">
        <x:v>I0 工件加工时间与设置时间（冻结输入）</x:v>
      </x:c>
      <x:c r="D1" s="4" t="str">
        <x:v>I0 工件加工时间与设置时间（冻结输入）</x:v>
      </x:c>
      <x:c r="E1" s="4" t="str">
        <x:v>I0 工件加工时间与设置时间（冻结输入）</x:v>
      </x:c>
    </x:row>
    <x:row r="3" ht="32" customHeight="1">
      <x:c r="A3" s="13" t="str">
        <x:v>工件J</x:v>
      </x:c>
      <x:c r="B3" s="13" t="str">
        <x:v>阶段S</x:v>
      </x:c>
      <x:c r="C3" s="13" t="str">
        <x:v>ST</x:v>
      </x:c>
      <x:c r="D3" s="13" t="str">
        <x:v>SUT</x:v>
      </x:c>
      <x:c r="E3" s="13" t="str">
        <x:v>单位说明</x:v>
      </x:c>
    </x:row>
    <x:row r="4">
      <x:c r="A4" s="27" t="n">
        <x:v>1</x:v>
      </x:c>
      <x:c r="B4" s="27" t="n">
        <x:v>1</x:v>
      </x:c>
      <x:c r="C4" s="27" t="n">
        <x:v>10</x:v>
      </x:c>
      <x:c r="D4" s="27" t="n">
        <x:v>2</x:v>
      </x:c>
      <x:c r="E4" s="7" t="str">
        <x:v>时间单位</x:v>
      </x:c>
    </x:row>
    <x:row r="5">
      <x:c r="A5" s="27" t="n">
        <x:v>1</x:v>
      </x:c>
      <x:c r="B5" s="27" t="n">
        <x:v>2</x:v>
      </x:c>
      <x:c r="C5" s="27" t="n">
        <x:v>6</x:v>
      </x:c>
      <x:c r="D5" s="27" t="n">
        <x:v>1</x:v>
      </x:c>
      <x:c r="E5" s="7" t="str">
        <x:v>时间单位</x:v>
      </x:c>
    </x:row>
    <x:row r="6">
      <x:c r="A6" s="27" t="n">
        <x:v>2</x:v>
      </x:c>
      <x:c r="B6" s="27" t="n">
        <x:v>1</x:v>
      </x:c>
      <x:c r="C6" s="27" t="n">
        <x:v>6</x:v>
      </x:c>
      <x:c r="D6" s="27" t="n">
        <x:v>1</x:v>
      </x:c>
      <x:c r="E6" s="7" t="str">
        <x:v>时间单位</x:v>
      </x:c>
    </x:row>
    <x:row r="7">
      <x:c r="A7" s="27" t="n">
        <x:v>2</x:v>
      </x:c>
      <x:c r="B7" s="27" t="n">
        <x:v>2</x:v>
      </x:c>
      <x:c r="C7" s="27" t="n">
        <x:v>8</x:v>
      </x:c>
      <x:c r="D7" s="27" t="n">
        <x:v>2</x:v>
      </x:c>
      <x:c r="E7" s="7" t="str">
        <x:v>时间单位</x:v>
      </x:c>
    </x:row>
    <x:row r="8">
      <x:c r="A8" s="27" t="n">
        <x:v>3</x:v>
      </x:c>
      <x:c r="B8" s="27" t="n">
        <x:v>1</x:v>
      </x:c>
      <x:c r="C8" s="27" t="n">
        <x:v>8</x:v>
      </x:c>
      <x:c r="D8" s="27" t="n">
        <x:v>2</x:v>
      </x:c>
      <x:c r="E8" s="7" t="str">
        <x:v>时间单位</x:v>
      </x:c>
    </x:row>
    <x:row r="9">
      <x:c r="A9" s="27" t="n">
        <x:v>3</x:v>
      </x:c>
      <x:c r="B9" s="27" t="n">
        <x:v>2</x:v>
      </x:c>
      <x:c r="C9" s="27" t="n">
        <x:v>5</x:v>
      </x:c>
      <x:c r="D9" s="27" t="n">
        <x:v>1</x:v>
      </x:c>
      <x:c r="E9" s="7" t="str">
        <x:v>时间单位</x:v>
      </x:c>
    </x:row>
    <x:row r="10">
      <x:c r="A10" s="27" t="n">
        <x:v>4</x:v>
      </x:c>
      <x:c r="B10" s="27" t="n">
        <x:v>1</x:v>
      </x:c>
      <x:c r="C10" s="27" t="n">
        <x:v>7</x:v>
      </x:c>
      <x:c r="D10" s="27" t="n">
        <x:v>1</x:v>
      </x:c>
      <x:c r="E10" s="7" t="str">
        <x:v>时间单位</x:v>
      </x:c>
    </x:row>
    <x:row r="11">
      <x:c r="A11" s="27" t="n">
        <x:v>4</x:v>
      </x:c>
      <x:c r="B11" s="27" t="n">
        <x:v>2</x:v>
      </x:c>
      <x:c r="C11" s="27" t="n">
        <x:v>9</x:v>
      </x:c>
      <x:c r="D11" s="27" t="n">
        <x:v>2</x:v>
      </x:c>
      <x:c r="E11" s="7" t="str">
        <x:v>时间单位</x:v>
      </x:c>
    </x:row>
    <x:row r="12">
      <x:c r="A12" s="27" t="n">
        <x:v>5</x:v>
      </x:c>
      <x:c r="B12" s="27" t="n">
        <x:v>1</x:v>
      </x:c>
      <x:c r="C12" s="27" t="n">
        <x:v>5</x:v>
      </x:c>
      <x:c r="D12" s="27" t="n">
        <x:v>1</x:v>
      </x:c>
      <x:c r="E12" s="7" t="str">
        <x:v>时间单位</x:v>
      </x:c>
    </x:row>
    <x:row r="13">
      <x:c r="A13" s="27" t="n">
        <x:v>5</x:v>
      </x:c>
      <x:c r="B13" s="27" t="n">
        <x:v>2</x:v>
      </x:c>
      <x:c r="C13" s="27" t="n">
        <x:v>7</x:v>
      </x:c>
      <x:c r="D13" s="27" t="n">
        <x:v>1</x:v>
      </x:c>
      <x:c r="E13" s="7" t="str">
        <x:v>时间单位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I0 机器速度与能耗率（冻结输入）</x:v>
      </x:c>
      <x:c r="B1" s="4" t="str">
        <x:v>I0 机器速度与能耗率（冻结输入）</x:v>
      </x:c>
      <x:c r="C1" s="4" t="str">
        <x:v>I0 机器速度与能耗率（冻结输入）</x:v>
      </x:c>
      <x:c r="D1" s="4" t="str">
        <x:v>I0 机器速度与能耗率（冻结输入）</x:v>
      </x:c>
      <x:c r="E1" s="4" t="str">
        <x:v>I0 机器速度与能耗率（冻结输入）</x:v>
      </x:c>
      <x:c r="F1" s="4" t="str">
        <x:v>I0 机器速度与能耗率（冻结输入）</x:v>
      </x:c>
    </x:row>
    <x:row r="3" ht="32" customHeight="1">
      <x:c r="A3" s="13" t="str">
        <x:v>工厂F</x:v>
      </x:c>
      <x:c r="B3" s="13" t="str">
        <x:v>阶段S</x:v>
      </x:c>
      <x:c r="C3" s="13" t="str">
        <x:v>局部机器M</x:v>
      </x:c>
      <x:c r="D3" s="13" t="str">
        <x:v>速度MS</x:v>
      </x:c>
      <x:c r="E3" s="13" t="str">
        <x:v>加工功率</x:v>
      </x:c>
      <x:c r="F3" s="13" t="str">
        <x:v>待机能耗率</x:v>
      </x:c>
    </x:row>
    <x:row r="4">
      <x:c r="A4" s="7" t="n">
        <x:v>1</x:v>
      </x:c>
      <x:c r="B4" s="7" t="n">
        <x:v>1</x:v>
      </x:c>
      <x:c r="C4" s="7" t="n">
        <x:v>1</x:v>
      </x:c>
      <x:c r="D4" s="28" t="n">
        <x:v>1</x:v>
      </x:c>
      <x:c r="E4" s="28" t="n">
        <x:v>6</x:v>
      </x:c>
      <x:c r="F4" s="28" t="n">
        <x:v>1</x:v>
      </x:c>
    </x:row>
    <x:row r="5">
      <x:c r="A5" s="7" t="n">
        <x:v>1</x:v>
      </x:c>
      <x:c r="B5" s="7" t="n">
        <x:v>1</x:v>
      </x:c>
      <x:c r="C5" s="7" t="n">
        <x:v>2</x:v>
      </x:c>
      <x:c r="D5" s="28" t="n">
        <x:v>1.25</x:v>
      </x:c>
      <x:c r="E5" s="28" t="n">
        <x:v>8</x:v>
      </x:c>
      <x:c r="F5" s="28" t="n">
        <x:v>1</x:v>
      </x:c>
    </x:row>
    <x:row r="6">
      <x:c r="A6" s="7" t="n">
        <x:v>1</x:v>
      </x:c>
      <x:c r="B6" s="7" t="n">
        <x:v>2</x:v>
      </x:c>
      <x:c r="C6" s="7" t="n">
        <x:v>1</x:v>
      </x:c>
      <x:c r="D6" s="28" t="n">
        <x:v>1</x:v>
      </x:c>
      <x:c r="E6" s="28" t="n">
        <x:v>7</x:v>
      </x:c>
      <x:c r="F6" s="28" t="n">
        <x:v>1</x:v>
      </x:c>
    </x:row>
    <x:row r="7">
      <x:c r="A7" s="7" t="n">
        <x:v>1</x:v>
      </x:c>
      <x:c r="B7" s="7" t="n">
        <x:v>2</x:v>
      </x:c>
      <x:c r="C7" s="7" t="n">
        <x:v>2</x:v>
      </x:c>
      <x:c r="D7" s="28" t="n">
        <x:v>1.25</x:v>
      </x:c>
      <x:c r="E7" s="28" t="n">
        <x:v>9</x:v>
      </x:c>
      <x:c r="F7" s="28" t="n">
        <x:v>1</x:v>
      </x:c>
    </x:row>
    <x:row r="8">
      <x:c r="A8" s="7" t="n">
        <x:v>2</x:v>
      </x:c>
      <x:c r="B8" s="7" t="n">
        <x:v>1</x:v>
      </x:c>
      <x:c r="C8" s="7" t="n">
        <x:v>1</x:v>
      </x:c>
      <x:c r="D8" s="28" t="n">
        <x:v>1</x:v>
      </x:c>
      <x:c r="E8" s="28" t="n">
        <x:v>6</x:v>
      </x:c>
      <x:c r="F8" s="28" t="n">
        <x:v>1</x:v>
      </x:c>
    </x:row>
    <x:row r="9">
      <x:c r="A9" s="7" t="n">
        <x:v>2</x:v>
      </x:c>
      <x:c r="B9" s="7" t="n">
        <x:v>1</x:v>
      </x:c>
      <x:c r="C9" s="7" t="n">
        <x:v>2</x:v>
      </x:c>
      <x:c r="D9" s="28" t="n">
        <x:v>1.2</x:v>
      </x:c>
      <x:c r="E9" s="28" t="n">
        <x:v>7</x:v>
      </x:c>
      <x:c r="F9" s="28" t="n">
        <x:v>1</x:v>
      </x:c>
    </x:row>
    <x:row r="10">
      <x:c r="A10" s="7" t="n">
        <x:v>2</x:v>
      </x:c>
      <x:c r="B10" s="7" t="n">
        <x:v>2</x:v>
      </x:c>
      <x:c r="C10" s="7" t="n">
        <x:v>1</x:v>
      </x:c>
      <x:c r="D10" s="28" t="n">
        <x:v>1.1</x:v>
      </x:c>
      <x:c r="E10" s="28" t="n">
        <x:v>7</x:v>
      </x:c>
      <x:c r="F10" s="28" t="n">
        <x:v>1</x:v>
      </x:c>
    </x:row>
    <x:row r="11">
      <x:c r="A11" s="7" t="n">
        <x:v>2</x:v>
      </x:c>
      <x:c r="B11" s="7" t="n">
        <x:v>2</x:v>
      </x:c>
      <x:c r="C11" s="7" t="n">
        <x:v>2</x:v>
      </x:c>
      <x:c r="D11" s="28" t="n">
        <x:v>1.25</x:v>
      </x:c>
      <x:c r="E11" s="28" t="n">
        <x:v>8</x:v>
      </x:c>
      <x:c r="F11" s="28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22" hidden="0" customWidth="1"/>
    <x:col min="14" max="14" width="22" hidden="0" customWidth="1"/>
  </x:cols>
  <x:sheetData>
    <x:row r="1" ht="30" customHeight="1">
      <x:c r="A1" s="4" t="str">
        <x:v>I0 工人效率、成本与疲劳参数（冻结输入）</x:v>
      </x:c>
      <x:c r="B1" s="4" t="str">
        <x:v>I0 工人效率、成本与疲劳参数（冻结输入）</x:v>
      </x:c>
      <x:c r="C1" s="4" t="str">
        <x:v>I0 工人效率、成本与疲劳参数（冻结输入）</x:v>
      </x:c>
      <x:c r="D1" s="4" t="str">
        <x:v>I0 工人效率、成本与疲劳参数（冻结输入）</x:v>
      </x:c>
      <x:c r="E1" s="4" t="str">
        <x:v>I0 工人效率、成本与疲劳参数（冻结输入）</x:v>
      </x:c>
      <x:c r="F1" s="4" t="str">
        <x:v>I0 工人效率、成本与疲劳参数（冻结输入）</x:v>
      </x:c>
      <x:c r="G1" s="4" t="str">
        <x:v>I0 工人效率、成本与疲劳参数（冻结输入）</x:v>
      </x:c>
      <x:c r="H1" s="4" t="str">
        <x:v>I0 工人效率、成本与疲劳参数（冻结输入）</x:v>
      </x:c>
      <x:c r="I1" s="4" t="str">
        <x:v>I0 工人效率、成本与疲劳参数（冻结输入）</x:v>
      </x:c>
      <x:c r="J1" s="4" t="str">
        <x:v>I0 工人效率、成本与疲劳参数（冻结输入）</x:v>
      </x:c>
      <x:c r="K1" s="4" t="str">
        <x:v>I0 工人效率、成本与疲劳参数（冻结输入）</x:v>
      </x:c>
    </x:row>
    <x:row r="3" ht="32" customHeight="1">
      <x:c r="A3" s="13" t="str">
        <x:v>工厂F</x:v>
      </x:c>
      <x:c r="B3" s="13" t="str">
        <x:v>阶段S</x:v>
      </x:c>
      <x:c r="C3" s="13" t="str">
        <x:v>阶段局部W</x:v>
      </x:c>
      <x:c r="D3" s="13" t="str">
        <x:v>工厂全局W</x:v>
      </x:c>
      <x:c r="E3" s="13" t="str">
        <x:v>效率WE</x:v>
      </x:c>
      <x:c r="F3" s="13" t="str">
        <x:v>成本率</x:v>
      </x:c>
      <x:c r="G3" s="13" t="str">
        <x:v>lambda</x:v>
      </x:c>
      <x:c r="H3" s="13" t="str">
        <x:v>mu</x:v>
      </x:c>
      <x:c r="I3" s="13" t="str">
        <x:v>r</x:v>
      </x:c>
      <x:c r="J3" s="13" t="str">
        <x:v>Fwarn</x:v>
      </x:c>
      <x:c r="K3" s="13" t="str">
        <x:v>Fsafe</x:v>
      </x:c>
      <x:c r="M3" s="13" t="str">
        <x:v>符号</x:v>
      </x:c>
      <x:c r="N3" s="13" t="str">
        <x:v>含义</x:v>
      </x:c>
    </x:row>
    <x:row r="4">
      <x:c r="A4" s="7" t="n">
        <x:v>1</x:v>
      </x:c>
      <x:c r="B4" s="7" t="n">
        <x:v>1</x:v>
      </x:c>
      <x:c r="C4" s="7" t="n">
        <x:v>1</x:v>
      </x:c>
      <x:c r="D4" s="7" t="n">
        <x:v>1</x:v>
      </x:c>
      <x:c r="E4" s="28" t="n">
        <x:v>1</x:v>
      </x:c>
      <x:c r="F4" s="28" t="n">
        <x:v>10</x:v>
      </x:c>
      <x:c r="G4" s="28" t="n">
        <x:v>0.02</x:v>
      </x:c>
      <x:c r="H4" s="28" t="n">
        <x:v>0.05</x:v>
      </x:c>
      <x:c r="I4" s="28" t="n">
        <x:v>0.3</x:v>
      </x:c>
      <x:c r="J4" s="28" t="n">
        <x:v>0.8</x:v>
      </x:c>
      <x:c r="K4" s="28" t="n">
        <x:v>0.9</x:v>
      </x:c>
      <x:c r="M4" s="7" t="str">
        <x:v>lambda</x:v>
      </x:c>
      <x:c r="N4" s="7" t="str">
        <x:v>疲劳累积率</x:v>
      </x:c>
    </x:row>
    <x:row r="5">
      <x:c r="A5" s="7" t="n">
        <x:v>1</x:v>
      </x:c>
      <x:c r="B5" s="7" t="n">
        <x:v>1</x:v>
      </x:c>
      <x:c r="C5" s="7" t="n">
        <x:v>2</x:v>
      </x:c>
      <x:c r="D5" s="7" t="n">
        <x:v>2</x:v>
      </x:c>
      <x:c r="E5" s="28" t="n">
        <x:v>1</x:v>
      </x:c>
      <x:c r="F5" s="28" t="n">
        <x:v>11</x:v>
      </x:c>
      <x:c r="G5" s="28" t="n">
        <x:v>0.025</x:v>
      </x:c>
      <x:c r="H5" s="28" t="n">
        <x:v>0.04</x:v>
      </x:c>
      <x:c r="I5" s="28" t="n">
        <x:v>0.3</x:v>
      </x:c>
      <x:c r="J5" s="28" t="n">
        <x:v>0.8</x:v>
      </x:c>
      <x:c r="K5" s="28" t="n">
        <x:v>0.9</x:v>
      </x:c>
      <x:c r="M5" s="7" t="str">
        <x:v>mu</x:v>
      </x:c>
      <x:c r="N5" s="7" t="str">
        <x:v>自然恢复率</x:v>
      </x:c>
    </x:row>
    <x:row r="6">
      <x:c r="A6" s="7" t="n">
        <x:v>1</x:v>
      </x:c>
      <x:c r="B6" s="7" t="n">
        <x:v>2</x:v>
      </x:c>
      <x:c r="C6" s="7" t="n">
        <x:v>1</x:v>
      </x:c>
      <x:c r="D6" s="7" t="n">
        <x:v>3</x:v>
      </x:c>
      <x:c r="E6" s="28" t="n">
        <x:v>1</x:v>
      </x:c>
      <x:c r="F6" s="28" t="n">
        <x:v>10</x:v>
      </x:c>
      <x:c r="G6" s="28" t="n">
        <x:v>0.018</x:v>
      </x:c>
      <x:c r="H6" s="28" t="n">
        <x:v>0.06</x:v>
      </x:c>
      <x:c r="I6" s="28" t="n">
        <x:v>0.3</x:v>
      </x:c>
      <x:c r="J6" s="28" t="n">
        <x:v>0.8</x:v>
      </x:c>
      <x:c r="K6" s="28" t="n">
        <x:v>0.9</x:v>
      </x:c>
      <x:c r="M6" s="7" t="str">
        <x:v>r</x:v>
      </x:c>
      <x:c r="N6" s="7" t="str">
        <x:v>最大疲劳工时增幅</x:v>
      </x:c>
    </x:row>
    <x:row r="7">
      <x:c r="A7" s="7" t="n">
        <x:v>1</x:v>
      </x:c>
      <x:c r="B7" s="7" t="n">
        <x:v>2</x:v>
      </x:c>
      <x:c r="C7" s="7" t="n">
        <x:v>2</x:v>
      </x:c>
      <x:c r="D7" s="7" t="n">
        <x:v>4</x:v>
      </x:c>
      <x:c r="E7" s="28" t="n">
        <x:v>1.2</x:v>
      </x:c>
      <x:c r="F7" s="28" t="n">
        <x:v>12</x:v>
      </x:c>
      <x:c r="G7" s="28" t="n">
        <x:v>0.022</x:v>
      </x:c>
      <x:c r="H7" s="28" t="n">
        <x:v>0.05</x:v>
      </x:c>
      <x:c r="I7" s="28" t="n">
        <x:v>0.3</x:v>
      </x:c>
      <x:c r="J7" s="28" t="n">
        <x:v>0.8</x:v>
      </x:c>
      <x:c r="K7" s="28" t="n">
        <x:v>0.9</x:v>
      </x:c>
      <x:c r="M7" s="7" t="str">
        <x:v>Fwarn/Fsafe</x:v>
      </x:c>
      <x:c r="N7" s="7" t="str">
        <x:v>诊断阈值，不插入休息</x:v>
      </x:c>
    </x:row>
    <x:row r="8">
      <x:c r="A8" s="7" t="n">
        <x:v>2</x:v>
      </x:c>
      <x:c r="B8" s="7" t="n">
        <x:v>1</x:v>
      </x:c>
      <x:c r="C8" s="7" t="n">
        <x:v>1</x:v>
      </x:c>
      <x:c r="D8" s="7" t="n">
        <x:v>1</x:v>
      </x:c>
      <x:c r="E8" s="28" t="n">
        <x:v>1</x:v>
      </x:c>
      <x:c r="F8" s="28" t="n">
        <x:v>10</x:v>
      </x:c>
      <x:c r="G8" s="28" t="n">
        <x:v>0.021</x:v>
      </x:c>
      <x:c r="H8" s="28" t="n">
        <x:v>0.05</x:v>
      </x:c>
      <x:c r="I8" s="28" t="n">
        <x:v>0.3</x:v>
      </x:c>
      <x:c r="J8" s="28" t="n">
        <x:v>0.8</x:v>
      </x:c>
      <x:c r="K8" s="28" t="n">
        <x:v>0.9</x:v>
      </x:c>
    </x:row>
    <x:row r="9">
      <x:c r="A9" s="7" t="n">
        <x:v>2</x:v>
      </x:c>
      <x:c r="B9" s="7" t="n">
        <x:v>1</x:v>
      </x:c>
      <x:c r="C9" s="7" t="n">
        <x:v>2</x:v>
      </x:c>
      <x:c r="D9" s="7" t="n">
        <x:v>2</x:v>
      </x:c>
      <x:c r="E9" s="28" t="n">
        <x:v>1.1</x:v>
      </x:c>
      <x:c r="F9" s="28" t="n">
        <x:v>11</x:v>
      </x:c>
      <x:c r="G9" s="28" t="n">
        <x:v>0.026</x:v>
      </x:c>
      <x:c r="H9" s="28" t="n">
        <x:v>0.04</x:v>
      </x:c>
      <x:c r="I9" s="28" t="n">
        <x:v>0.3</x:v>
      </x:c>
      <x:c r="J9" s="28" t="n">
        <x:v>0.8</x:v>
      </x:c>
      <x:c r="K9" s="28" t="n">
        <x:v>0.9</x:v>
      </x:c>
    </x:row>
    <x:row r="10">
      <x:c r="A10" s="7" t="n">
        <x:v>2</x:v>
      </x:c>
      <x:c r="B10" s="7" t="n">
        <x:v>2</x:v>
      </x:c>
      <x:c r="C10" s="7" t="n">
        <x:v>1</x:v>
      </x:c>
      <x:c r="D10" s="7" t="n">
        <x:v>3</x:v>
      </x:c>
      <x:c r="E10" s="28" t="n">
        <x:v>1</x:v>
      </x:c>
      <x:c r="F10" s="28" t="n">
        <x:v>10</x:v>
      </x:c>
      <x:c r="G10" s="28" t="n">
        <x:v>0.019</x:v>
      </x:c>
      <x:c r="H10" s="28" t="n">
        <x:v>0.06</x:v>
      </x:c>
      <x:c r="I10" s="28" t="n">
        <x:v>0.3</x:v>
      </x:c>
      <x:c r="J10" s="28" t="n">
        <x:v>0.8</x:v>
      </x:c>
      <x:c r="K10" s="28" t="n">
        <x:v>0.9</x:v>
      </x:c>
    </x:row>
    <x:row r="11">
      <x:c r="A11" s="7" t="n">
        <x:v>2</x:v>
      </x:c>
      <x:c r="B11" s="7" t="n">
        <x:v>2</x:v>
      </x:c>
      <x:c r="C11" s="7" t="n">
        <x:v>2</x:v>
      </x:c>
      <x:c r="D11" s="7" t="n">
        <x:v>4</x:v>
      </x:c>
      <x:c r="E11" s="28" t="n">
        <x:v>1.15</x:v>
      </x:c>
      <x:c r="F11" s="28" t="n">
        <x:v>12</x:v>
      </x:c>
      <x:c r="G11" s="28" t="n">
        <x:v>0.023</x:v>
      </x:c>
      <x:c r="H11" s="28" t="n">
        <x:v>0.05</x:v>
      </x:c>
      <x:c r="I11" s="28" t="n">
        <x:v>0.3</x:v>
      </x:c>
      <x:c r="J11" s="28" t="n">
        <x:v>0.8</x:v>
      </x:c>
      <x:c r="K11" s="28" t="n">
        <x:v>0.9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4" hidden="0" customWidth="1"/>
  </x:cols>
  <x:sheetData>
    <x:row r="1" ht="30" customHeight="1">
      <x:c r="A1" s="4" t="str">
        <x:v>I0 固定四向量粒子 X0（1基编号）</x:v>
      </x:c>
      <x:c r="B1" s="4" t="str">
        <x:v>I0 固定四向量粒子 X0（1基编号）</x:v>
      </x:c>
      <x:c r="C1" s="4" t="str">
        <x:v>I0 固定四向量粒子 X0（1基编号）</x:v>
      </x:c>
      <x:c r="D1" s="4" t="str">
        <x:v>I0 固定四向量粒子 X0（1基编号）</x:v>
      </x:c>
      <x:c r="E1" s="4" t="str">
        <x:v>I0 固定四向量粒子 X0（1基编号）</x:v>
      </x:c>
      <x:c r="F1" s="4" t="str">
        <x:v>I0 固定四向量粒子 X0（1基编号）</x:v>
      </x:c>
      <x:c r="G1" s="4" t="str">
        <x:v>I0 固定四向量粒子 X0（1基编号）</x:v>
      </x:c>
    </x:row>
    <x:row r="3" ht="32" customHeight="1">
      <x:c r="A3" s="13" t="str">
        <x:v>向量/位置</x:v>
      </x:c>
      <x:c r="B3" s="13" t="n">
        <x:v>1</x:v>
      </x:c>
      <x:c r="C3" s="13" t="n">
        <x:v>2</x:v>
      </x:c>
      <x:c r="D3" s="13" t="n">
        <x:v>3</x:v>
      </x:c>
      <x:c r="E3" s="13" t="n">
        <x:v>4</x:v>
      </x:c>
      <x:c r="F3" s="13" t="n">
        <x:v>5</x:v>
      </x:c>
    </x:row>
    <x:row r="4">
      <x:c r="A4" s="7" t="str">
        <x:v>JS</x:v>
      </x:c>
      <x:c r="B4" s="7" t="n">
        <x:v>2</x:v>
      </x:c>
      <x:c r="C4" s="7" t="n">
        <x:v>5</x:v>
      </x:c>
      <x:c r="D4" s="7" t="n">
        <x:v>1</x:v>
      </x:c>
      <x:c r="E4" s="7" t="n">
        <x:v>4</x:v>
      </x:c>
      <x:c r="F4" s="7" t="n">
        <x:v>3</x:v>
      </x:c>
    </x:row>
    <x:row r="5">
      <x:c r="A5" s="7" t="str">
        <x:v>FA</x:v>
      </x:c>
      <x:c r="B5" s="7" t="n">
        <x:v>1</x:v>
      </x:c>
      <x:c r="C5" s="7" t="n">
        <x:v>2</x:v>
      </x:c>
      <x:c r="D5" s="7" t="n">
        <x:v>1</x:v>
      </x:c>
      <x:c r="E5" s="7" t="n">
        <x:v>1</x:v>
      </x:c>
      <x:c r="F5" s="7" t="n">
        <x:v>2</x:v>
      </x:c>
    </x:row>
    <x:row r="6">
      <x:c r="A6" s="7" t="str">
        <x:v>MA</x:v>
      </x:c>
      <x:c r="B6" s="7" t="n">
        <x:v>1</x:v>
      </x:c>
      <x:c r="C6" s="7" t="n">
        <x:v>1</x:v>
      </x:c>
      <x:c r="D6" s="7" t="n">
        <x:v>2</x:v>
      </x:c>
      <x:c r="E6" s="7" t="n">
        <x:v>2</x:v>
      </x:c>
      <x:c r="F6" s="7" t="n">
        <x:v>2</x:v>
      </x:c>
    </x:row>
    <x:row r="7">
      <x:c r="A7" s="7" t="str">
        <x:v>WA</x:v>
      </x:c>
      <x:c r="B7" s="7" t="n">
        <x:v>1</x:v>
      </x:c>
      <x:c r="C7" s="7" t="n">
        <x:v>1</x:v>
      </x:c>
      <x:c r="D7" s="7" t="n">
        <x:v>2</x:v>
      </x:c>
      <x:c r="E7" s="7" t="n">
        <x:v>1</x:v>
      </x:c>
      <x:c r="F7" s="7" t="n">
        <x:v>1</x:v>
      </x:c>
    </x:row>
    <x:row r="9" ht="32" customHeight="1">
      <x:c r="A9" s="13" t="str">
        <x:v>位置p</x:v>
      </x:c>
      <x:c r="B9" s="13" t="str">
        <x:v>本人填写：工件J</x:v>
      </x:c>
      <x:c r="C9" s="13" t="str">
        <x:v>工厂F</x:v>
      </x:c>
      <x:c r="D9" s="13" t="str">
        <x:v>第一阶段机器M</x:v>
      </x:c>
      <x:c r="E9" s="13" t="str">
        <x:v>第一阶段工人W</x:v>
      </x:c>
      <x:c r="F9" s="13" t="str">
        <x:v>一句话解释</x:v>
      </x:c>
      <x:c r="G9" s="13" t="str">
        <x:v>核对完成?</x:v>
      </x:c>
    </x:row>
    <x:row r="10">
      <x:c r="A10" s="7" t="n">
        <x:v>1</x:v>
      </x:c>
      <x:c r="B10" s="32"/>
      <x:c r="C10" s="32"/>
      <x:c r="D10" s="32"/>
      <x:c r="E10" s="32"/>
      <x:c r="F10" s="32"/>
      <x:c r="G10" s="32"/>
    </x:row>
    <x:row r="11">
      <x:c r="A11" s="7" t="n">
        <x:v>2</x:v>
      </x:c>
      <x:c r="B11" s="32"/>
      <x:c r="C11" s="32"/>
      <x:c r="D11" s="32"/>
      <x:c r="E11" s="32"/>
      <x:c r="F11" s="32"/>
      <x:c r="G11" s="32"/>
    </x:row>
    <x:row r="12">
      <x:c r="A12" s="7" t="n">
        <x:v>3</x:v>
      </x:c>
      <x:c r="B12" s="32"/>
      <x:c r="C12" s="32"/>
      <x:c r="D12" s="32"/>
      <x:c r="E12" s="32"/>
      <x:c r="F12" s="32"/>
      <x:c r="G12" s="32"/>
    </x:row>
    <x:row r="13">
      <x:c r="A13" s="7" t="n">
        <x:v>4</x:v>
      </x:c>
      <x:c r="B13" s="32"/>
      <x:c r="C13" s="32"/>
      <x:c r="D13" s="32"/>
      <x:c r="E13" s="32"/>
      <x:c r="F13" s="32"/>
      <x:c r="G13" s="32"/>
    </x:row>
    <x:row r="14">
      <x:c r="A14" s="7" t="n">
        <x:v>5</x:v>
      </x:c>
      <x:c r="B14" s="32"/>
      <x:c r="C14" s="32"/>
      <x:c r="D14" s="32"/>
      <x:c r="E14" s="32"/>
      <x:c r="F14" s="32"/>
      <x:c r="G14" s="32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0" customHeight="1">
      <x:c r="A1" s="4" t="str">
        <x:v>FM0 本人逐工序手算（黄色单元格全部由本人填写）</x:v>
      </x:c>
      <x:c r="B1" s="4" t="str">
        <x:v>FM0 本人逐工序手算（黄色单元格全部由本人填写）</x:v>
      </x:c>
      <x:c r="C1" s="4" t="str">
        <x:v>FM0 本人逐工序手算（黄色单元格全部由本人填写）</x:v>
      </x:c>
      <x:c r="D1" s="4" t="str">
        <x:v>FM0 本人逐工序手算（黄色单元格全部由本人填写）</x:v>
      </x:c>
      <x:c r="E1" s="4" t="str">
        <x:v>FM0 本人逐工序手算（黄色单元格全部由本人填写）</x:v>
      </x:c>
      <x:c r="F1" s="4" t="str">
        <x:v>FM0 本人逐工序手算（黄色单元格全部由本人填写）</x:v>
      </x:c>
      <x:c r="G1" s="4" t="str">
        <x:v>FM0 本人逐工序手算（黄色单元格全部由本人填写）</x:v>
      </x:c>
      <x:c r="H1" s="4" t="str">
        <x:v>FM0 本人逐工序手算（黄色单元格全部由本人填写）</x:v>
      </x:c>
      <x:c r="I1" s="4" t="str">
        <x:v>FM0 本人逐工序手算（黄色单元格全部由本人填写）</x:v>
      </x:c>
      <x:c r="J1" s="4" t="str">
        <x:v>FM0 本人逐工序手算（黄色单元格全部由本人填写）</x:v>
      </x:c>
      <x:c r="K1" s="4" t="str">
        <x:v>FM0 本人逐工序手算（黄色单元格全部由本人填写）</x:v>
      </x:c>
      <x:c r="L1" s="4" t="str">
        <x:v>FM0 本人逐工序手算（黄色单元格全部由本人填写）</x:v>
      </x:c>
      <x:c r="M1" s="4" t="str">
        <x:v>FM0 本人逐工序手算（黄色单元格全部由本人填写）</x:v>
      </x:c>
      <x:c r="N1" s="4" t="str">
        <x:v>FM0 本人逐工序手算（黄色单元格全部由本人填写）</x:v>
      </x:c>
      <x:c r="O1" s="4" t="str">
        <x:v>FM0 本人逐工序手算（黄色单元格全部由本人填写）</x:v>
      </x:c>
      <x:c r="P1" s="4" t="str">
        <x:v>FM0 本人逐工序手算（黄色单元格全部由本人填写）</x:v>
      </x:c>
      <x:c r="Q1" s="4" t="str">
        <x:v>FM0 本人逐工序手算（黄色单元格全部由本人填写）</x:v>
      </x:c>
      <x:c r="R1" s="4" t="str">
        <x:v>FM0 本人逐工序手算（黄色单元格全部由本人填写）</x:v>
      </x:c>
      <x:c r="S1" s="4" t="str">
        <x:v>FM0 本人逐工序手算（黄色单元格全部由本人填写）</x:v>
      </x:c>
      <x:c r="T1" s="4" t="str">
        <x:v>FM0 本人逐工序手算（黄色单元格全部由本人填写）</x:v>
      </x:c>
      <x:c r="U1" s="4" t="str">
        <x:v>FM0 本人逐工序手算（黄色单元格全部由本人填写）</x:v>
      </x:c>
      <x:c r="V1" s="4" t="str">
        <x:v>FM0 本人逐工序手算（黄色单元格全部由本人填写）</x:v>
      </x:c>
      <x:c r="W1" s="4" t="str">
        <x:v>FM0 本人逐工序手算（黄色单元格全部由本人填写）</x:v>
      </x:c>
      <x:c r="X1" s="4" t="str">
        <x:v>FM0 本人逐工序手算（黄色单元格全部由本人填写）</x:v>
      </x:c>
    </x:row>
    <x:row r="3" ht="32" customHeight="1">
      <x:c r="A3" s="13" t="str">
        <x:v>序号</x:v>
      </x:c>
      <x:c r="B3" s="13" t="str">
        <x:v>JS位置</x:v>
      </x:c>
      <x:c r="C3" s="13" t="str">
        <x:v>工件J</x:v>
      </x:c>
      <x:c r="D3" s="13" t="str">
        <x:v>阶段S</x:v>
      </x:c>
      <x:c r="E3" s="13" t="str">
        <x:v>工厂F</x:v>
      </x:c>
      <x:c r="F3" s="13" t="str">
        <x:v>机器M(局部)</x:v>
      </x:c>
      <x:c r="G3" s="13" t="str">
        <x:v>工人W(局部)</x:v>
      </x:c>
      <x:c r="H3" s="13" t="str">
        <x:v>工人W(全局)</x:v>
      </x:c>
      <x:c r="I3" s="13" t="str">
        <x:v>前序完工</x:v>
      </x:c>
      <x:c r="J3" s="13" t="str">
        <x:v>机器可用</x:v>
      </x:c>
      <x:c r="K3" s="13" t="str">
        <x:v>工人可用</x:v>
      </x:c>
      <x:c r="L3" s="13" t="str">
        <x:v>开始S</x:v>
      </x:c>
      <x:c r="M3" s="13" t="str">
        <x:v>ST</x:v>
      </x:c>
      <x:c r="N3" s="13" t="str">
        <x:v>SUT</x:v>
      </x:c>
      <x:c r="O3" s="13" t="str">
        <x:v>MS</x:v>
      </x:c>
      <x:c r="P3" s="13" t="str">
        <x:v>WE</x:v>
      </x:c>
      <x:c r="Q3" s="13" t="str">
        <x:v>PT0</x:v>
      </x:c>
      <x:c r="R3" s="13" t="str">
        <x:v>SET0</x:v>
      </x:c>
      <x:c r="S3" s="13" t="str">
        <x:v>AT0</x:v>
      </x:c>
      <x:c r="T3" s="13" t="str">
        <x:v>结束C</x:v>
      </x:c>
      <x:c r="U3" s="13" t="str">
        <x:v>机器空闲</x:v>
      </x:c>
      <x:c r="V3" s="13" t="str">
        <x:v>机器功率</x:v>
      </x:c>
      <x:c r="W3" s="13" t="str">
        <x:v>能耗</x:v>
      </x:c>
      <x:c r="X3" s="13" t="str">
        <x:v>成本</x:v>
      </x:c>
    </x:row>
    <x:row r="4">
      <x:c r="A4" s="36" t="str">
        <x:v>1..10</x:v>
      </x:c>
      <x:c r="B4" s="36" t="str">
        <x:v>仅S1直接来自X0</x:v>
      </x:c>
      <x:c r="C4" s="36" t="str">
        <x:v>本人确定</x:v>
      </x:c>
      <x:c r="D4" s="36" t="str">
        <x:v>1/2</x:v>
      </x:c>
      <x:c r="E4" s="36" t="str">
        <x:v>由FA</x:v>
      </x:c>
      <x:c r="F4" s="36" t="str">
        <x:v>S1读MA；S2动态</x:v>
      </x:c>
      <x:c r="G4" s="36" t="str">
        <x:v>S1读WA；S2动态</x:v>
      </x:c>
      <x:c r="H4" s="36" t="str">
        <x:v>查工人表</x:v>
      </x:c>
      <x:c r="I4" s="36" t="str">
        <x:v>S1=0</x:v>
      </x:c>
      <x:c r="J4" s="36" t="str">
        <x:v>状态表</x:v>
      </x:c>
      <x:c r="K4" s="36" t="str">
        <x:v>状态表</x:v>
      </x:c>
      <x:c r="L4" s="36" t="str">
        <x:v>MAX三项</x:v>
      </x:c>
      <x:c r="M4" s="36" t="str">
        <x:v>查输入</x:v>
      </x:c>
      <x:c r="N4" s="36" t="str">
        <x:v>查输入</x:v>
      </x:c>
      <x:c r="O4" s="36" t="str">
        <x:v>查机器</x:v>
      </x:c>
      <x:c r="P4" s="36" t="str">
        <x:v>查工人</x:v>
      </x:c>
      <x:c r="Q4" s="36" t="str">
        <x:v>ST/(MS*WE)</x:v>
      </x:c>
      <x:c r="R4" s="36" t="str">
        <x:v>SUT/WE</x:v>
      </x:c>
      <x:c r="S4" s="36" t="str">
        <x:v>PT0+SET0</x:v>
      </x:c>
      <x:c r="T4" s="36" t="str">
        <x:v>S+AT0</x:v>
      </x:c>
      <x:c r="U4" s="36" t="str">
        <x:v>非首次=max(0,S-Mavail)</x:v>
      </x:c>
      <x:c r="V4" s="36" t="str">
        <x:v>查输入</x:v>
      </x:c>
      <x:c r="W4" s="36" t="str">
        <x:v>AT0*P+idle</x:v>
      </x:c>
      <x:c r="X4" s="36" t="str">
        <x:v>(AT0+idle)*costRate</x:v>
      </x:c>
    </x:row>
    <x:row r="5">
      <x:c r="A5" s="7" t="n">
        <x:v>1</x:v>
      </x:c>
      <x:c r="B5" s="32"/>
      <x:c r="C5" s="32"/>
      <x:c r="D5" s="32"/>
      <x:c r="E5" s="32"/>
      <x:c r="F5" s="32"/>
      <x:c r="G5" s="32"/>
      <x:c r="H5" s="32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</x:row>
    <x:row r="6">
      <x:c r="A6" s="7" t="n">
        <x:v>2</x:v>
      </x:c>
      <x:c r="B6" s="32"/>
      <x:c r="C6" s="32"/>
      <x:c r="D6" s="32"/>
      <x:c r="E6" s="32"/>
      <x:c r="F6" s="32"/>
      <x:c r="G6" s="32"/>
      <x:c r="H6" s="32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</x:row>
    <x:row r="7">
      <x:c r="A7" s="7" t="n">
        <x:v>3</x:v>
      </x:c>
      <x:c r="B7" s="32"/>
      <x:c r="C7" s="32"/>
      <x:c r="D7" s="32"/>
      <x:c r="E7" s="32"/>
      <x:c r="F7" s="32"/>
      <x:c r="G7" s="32"/>
      <x:c r="H7" s="32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</x:row>
    <x:row r="8">
      <x:c r="A8" s="7" t="n">
        <x:v>4</x:v>
      </x:c>
      <x:c r="B8" s="32"/>
      <x:c r="C8" s="32"/>
      <x:c r="D8" s="32"/>
      <x:c r="E8" s="32"/>
      <x:c r="F8" s="32"/>
      <x:c r="G8" s="32"/>
      <x:c r="H8" s="32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</x:row>
    <x:row r="9">
      <x:c r="A9" s="7" t="n">
        <x:v>5</x:v>
      </x:c>
      <x:c r="B9" s="32"/>
      <x:c r="C9" s="32"/>
      <x:c r="D9" s="32"/>
      <x:c r="E9" s="32"/>
      <x:c r="F9" s="32"/>
      <x:c r="G9" s="32"/>
      <x:c r="H9" s="32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</x:row>
    <x:row r="10">
      <x:c r="A10" s="7" t="n">
        <x:v>6</x:v>
      </x:c>
      <x:c r="B10" s="32"/>
      <x:c r="C10" s="32"/>
      <x:c r="D10" s="32"/>
      <x:c r="E10" s="32"/>
      <x:c r="F10" s="32"/>
      <x:c r="G10" s="32"/>
      <x:c r="H10" s="32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</x:row>
    <x:row r="11">
      <x:c r="A11" s="7" t="n">
        <x:v>7</x:v>
      </x:c>
      <x:c r="B11" s="32"/>
      <x:c r="C11" s="32"/>
      <x:c r="D11" s="32"/>
      <x:c r="E11" s="32"/>
      <x:c r="F11" s="32"/>
      <x:c r="G11" s="32"/>
      <x:c r="H11" s="32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</x:row>
    <x:row r="12">
      <x:c r="A12" s="7" t="n">
        <x:v>8</x:v>
      </x:c>
      <x:c r="B12" s="32"/>
      <x:c r="C12" s="32"/>
      <x:c r="D12" s="32"/>
      <x:c r="E12" s="32"/>
      <x:c r="F12" s="32"/>
      <x:c r="G12" s="32"/>
      <x:c r="H12" s="32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</x:row>
    <x:row r="13">
      <x:c r="A13" s="7" t="n">
        <x:v>9</x:v>
      </x:c>
      <x:c r="B13" s="32"/>
      <x:c r="C13" s="32"/>
      <x:c r="D13" s="32"/>
      <x:c r="E13" s="32"/>
      <x:c r="F13" s="32"/>
      <x:c r="G13" s="32"/>
      <x:c r="H13" s="32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</x:row>
    <x:row r="14">
      <x:c r="A14" s="7" t="n">
        <x:v>10</x:v>
      </x:c>
      <x:c r="B14" s="32"/>
      <x:c r="C14" s="32"/>
      <x:c r="D14" s="32"/>
      <x:c r="E14" s="32"/>
      <x:c r="F14" s="32"/>
      <x:c r="G14" s="32"/>
      <x:c r="H14" s="32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</x:row>
  </x:sheetData>
  <x:mergeCells>
    <x:mergeCell ref="A1:X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30" customHeight="1">
      <x:c r="A1" s="4" t="str">
        <x:v>FM3 本人逐工序手算（不得复制程序输出）</x:v>
      </x:c>
      <x:c r="B1" s="4" t="str">
        <x:v>FM3 本人逐工序手算（不得复制程序输出）</x:v>
      </x:c>
      <x:c r="C1" s="4" t="str">
        <x:v>FM3 本人逐工序手算（不得复制程序输出）</x:v>
      </x:c>
      <x:c r="D1" s="4" t="str">
        <x:v>FM3 本人逐工序手算（不得复制程序输出）</x:v>
      </x:c>
      <x:c r="E1" s="4" t="str">
        <x:v>FM3 本人逐工序手算（不得复制程序输出）</x:v>
      </x:c>
      <x:c r="F1" s="4" t="str">
        <x:v>FM3 本人逐工序手算（不得复制程序输出）</x:v>
      </x:c>
      <x:c r="G1" s="4" t="str">
        <x:v>FM3 本人逐工序手算（不得复制程序输出）</x:v>
      </x:c>
      <x:c r="H1" s="4" t="str">
        <x:v>FM3 本人逐工序手算（不得复制程序输出）</x:v>
      </x:c>
      <x:c r="I1" s="4" t="str">
        <x:v>FM3 本人逐工序手算（不得复制程序输出）</x:v>
      </x:c>
      <x:c r="J1" s="4" t="str">
        <x:v>FM3 本人逐工序手算（不得复制程序输出）</x:v>
      </x:c>
      <x:c r="K1" s="4" t="str">
        <x:v>FM3 本人逐工序手算（不得复制程序输出）</x:v>
      </x:c>
      <x:c r="L1" s="4" t="str">
        <x:v>FM3 本人逐工序手算（不得复制程序输出）</x:v>
      </x:c>
      <x:c r="M1" s="4" t="str">
        <x:v>FM3 本人逐工序手算（不得复制程序输出）</x:v>
      </x:c>
      <x:c r="N1" s="4" t="str">
        <x:v>FM3 本人逐工序手算（不得复制程序输出）</x:v>
      </x:c>
      <x:c r="O1" s="4" t="str">
        <x:v>FM3 本人逐工序手算（不得复制程序输出）</x:v>
      </x:c>
      <x:c r="P1" s="4" t="str">
        <x:v>FM3 本人逐工序手算（不得复制程序输出）</x:v>
      </x:c>
      <x:c r="Q1" s="4" t="str">
        <x:v>FM3 本人逐工序手算（不得复制程序输出）</x:v>
      </x:c>
      <x:c r="R1" s="4" t="str">
        <x:v>FM3 本人逐工序手算（不得复制程序输出）</x:v>
      </x:c>
      <x:c r="S1" s="4" t="str">
        <x:v>FM3 本人逐工序手算（不得复制程序输出）</x:v>
      </x:c>
      <x:c r="T1" s="4" t="str">
        <x:v>FM3 本人逐工序手算（不得复制程序输出）</x:v>
      </x:c>
      <x:c r="U1" s="4" t="str">
        <x:v>FM3 本人逐工序手算（不得复制程序输出）</x:v>
      </x:c>
      <x:c r="V1" s="4" t="str">
        <x:v>FM3 本人逐工序手算（不得复制程序输出）</x:v>
      </x:c>
      <x:c r="W1" s="4" t="str">
        <x:v>FM3 本人逐工序手算（不得复制程序输出）</x:v>
      </x:c>
      <x:c r="X1" s="4" t="str">
        <x:v>FM3 本人逐工序手算（不得复制程序输出）</x:v>
      </x:c>
      <x:c r="Y1" s="4" t="str">
        <x:v>FM3 本人逐工序手算（不得复制程序输出）</x:v>
      </x:c>
      <x:c r="Z1" s="4" t="str">
        <x:v>FM3 本人逐工序手算（不得复制程序输出）</x:v>
      </x:c>
      <x:c r="AA1" s="4" t="str">
        <x:v>FM3 本人逐工序手算（不得复制程序输出）</x:v>
      </x:c>
      <x:c r="AB1" s="4" t="str">
        <x:v>FM3 本人逐工序手算（不得复制程序输出）</x:v>
      </x:c>
      <x:c r="AC1" s="4" t="str">
        <x:v>FM3 本人逐工序手算（不得复制程序输出）</x:v>
      </x:c>
      <x:c r="AD1" s="4" t="str">
        <x:v>FM3 本人逐工序手算（不得复制程序输出）</x:v>
      </x:c>
      <x:c r="AE1" s="4" t="str">
        <x:v>FM3 本人逐工序手算（不得复制程序输出）</x:v>
      </x:c>
      <x:c r="AF1" s="4" t="str">
        <x:v>FM3 本人逐工序手算（不得复制程序输出）</x:v>
      </x:c>
      <x:c r="AG1" s="4" t="str">
        <x:v>FM3 本人逐工序手算（不得复制程序输出）</x:v>
      </x:c>
      <x:c r="AH1" s="4" t="str">
        <x:v>FM3 本人逐工序手算（不得复制程序输出）</x:v>
      </x:c>
    </x:row>
    <x:row r="3" ht="32" customHeight="1">
      <x:c r="A3" s="13" t="str">
        <x:v>序号</x:v>
      </x:c>
      <x:c r="B3" s="13" t="str">
        <x:v>工件J</x:v>
      </x:c>
      <x:c r="C3" s="13" t="str">
        <x:v>阶段S</x:v>
      </x:c>
      <x:c r="D3" s="13" t="str">
        <x:v>工厂F</x:v>
      </x:c>
      <x:c r="E3" s="13" t="str">
        <x:v>机器M</x:v>
      </x:c>
      <x:c r="F3" s="13" t="str">
        <x:v>工人W局部</x:v>
      </x:c>
      <x:c r="G3" s="13" t="str">
        <x:v>工人W全局</x:v>
      </x:c>
      <x:c r="H3" s="13" t="str">
        <x:v>前序完工</x:v>
      </x:c>
      <x:c r="I3" s="13" t="str">
        <x:v>机器可用</x:v>
      </x:c>
      <x:c r="J3" s="13" t="str">
        <x:v>工人可用</x:v>
      </x:c>
      <x:c r="K3" s="13" t="str">
        <x:v>开始S</x:v>
      </x:c>
      <x:c r="L3" s="13" t="str">
        <x:v>恢复R</x:v>
      </x:c>
      <x:c r="M3" s="13" t="str">
        <x:v>恢复前F</x:v>
      </x:c>
      <x:c r="N3" s="13" t="str">
        <x:v>开始F</x:v>
      </x:c>
      <x:c r="O3" s="13" t="str">
        <x:v>ST</x:v>
      </x:c>
      <x:c r="P3" s="13" t="str">
        <x:v>SUT</x:v>
      </x:c>
      <x:c r="Q3" s="13" t="str">
        <x:v>MS</x:v>
      </x:c>
      <x:c r="R3" s="13" t="str">
        <x:v>WE</x:v>
      </x:c>
      <x:c r="S3" s="13" t="str">
        <x:v>lambda</x:v>
      </x:c>
      <x:c r="T3" s="13" t="str">
        <x:v>mu</x:v>
      </x:c>
      <x:c r="U3" s="13" t="str">
        <x:v>r</x:v>
      </x:c>
      <x:c r="V3" s="13" t="str">
        <x:v>PT0</x:v>
      </x:c>
      <x:c r="W3" s="13" t="str">
        <x:v>SET0</x:v>
      </x:c>
      <x:c r="X3" s="13" t="str">
        <x:v>AT0</x:v>
      </x:c>
      <x:c r="Y3" s="13" t="str">
        <x:v>倍率</x:v>
      </x:c>
      <x:c r="Z3" s="13" t="str">
        <x:v>实际PT</x:v>
      </x:c>
      <x:c r="AA3" s="13" t="str">
        <x:v>实际SET</x:v>
      </x:c>
      <x:c r="AB3" s="13" t="str">
        <x:v>实际AT</x:v>
      </x:c>
      <x:c r="AC3" s="13" t="str">
        <x:v>结束C</x:v>
      </x:c>
      <x:c r="AD3" s="13" t="str">
        <x:v>结束F</x:v>
      </x:c>
      <x:c r="AE3" s="13" t="str">
        <x:v>机器空闲</x:v>
      </x:c>
      <x:c r="AF3" s="13" t="str">
        <x:v>功率</x:v>
      </x:c>
      <x:c r="AG3" s="13" t="str">
        <x:v>能耗</x:v>
      </x:c>
      <x:c r="AH3" s="13" t="str">
        <x:v>成本</x:v>
      </x:c>
    </x:row>
    <x:row r="4">
      <x:c r="A4" s="36" t="str">
        <x:v>1..10</x:v>
      </x:c>
      <x:c r="B4" s="36" t="str">
        <x:v>本人确定</x:v>
      </x:c>
      <x:c r="C4" s="36" t="str">
        <x:v>1/2</x:v>
      </x:c>
      <x:c r="D4" s="36" t="str">
        <x:v>由FA</x:v>
      </x:c>
      <x:c r="E4" s="36" t="str">
        <x:v>S1读MA；S2动态</x:v>
      </x:c>
      <x:c r="F4" s="36" t="str">
        <x:v>S1读WA；S2动态</x:v>
      </x:c>
      <x:c r="G4" s="36" t="str">
        <x:v>查工人表</x:v>
      </x:c>
      <x:c r="H4" s="36" t="str">
        <x:v>S1=0</x:v>
      </x:c>
      <x:c r="I4" s="36" t="str">
        <x:v>状态表</x:v>
      </x:c>
      <x:c r="J4" s="36" t="str">
        <x:v>状态表</x:v>
      </x:c>
      <x:c r="K4" s="36" t="str">
        <x:v>MAX三项</x:v>
      </x:c>
      <x:c r="L4" s="36" t="str">
        <x:v>同工人任务间正空闲</x:v>
      </x:c>
      <x:c r="M4" s="36" t="str">
        <x:v>状态表</x:v>
      </x:c>
      <x:c r="N4" s="36" t="str">
        <x:v>Flast*EXP(-mu*R)</x:v>
      </x:c>
      <x:c r="O4" s="36" t="str">
        <x:v>查输入</x:v>
      </x:c>
      <x:c r="P4" s="36" t="str">
        <x:v>查输入</x:v>
      </x:c>
      <x:c r="Q4" s="36" t="str">
        <x:v>查机器</x:v>
      </x:c>
      <x:c r="R4" s="36" t="str">
        <x:v>查工人</x:v>
      </x:c>
      <x:c r="S4" s="36" t="str">
        <x:v>查工人</x:v>
      </x:c>
      <x:c r="T4" s="36" t="str">
        <x:v>查工人</x:v>
      </x:c>
      <x:c r="U4" s="36" t="str">
        <x:v>0.30</x:v>
      </x:c>
      <x:c r="V4" s="36" t="str">
        <x:v>ST/(MS*WE)</x:v>
      </x:c>
      <x:c r="W4" s="36" t="str">
        <x:v>SUT/WE</x:v>
      </x:c>
      <x:c r="X4" s="36" t="str">
        <x:v>PT0+SET0</x:v>
      </x:c>
      <x:c r="Y4" s="36" t="str">
        <x:v>1+r/LN(2)*LN(1+Fstart)</x:v>
      </x:c>
      <x:c r="Z4" s="36" t="str">
        <x:v>PT0*倍率</x:v>
      </x:c>
      <x:c r="AA4" s="36" t="str">
        <x:v>SET0*倍率</x:v>
      </x:c>
      <x:c r="AB4" s="36" t="str">
        <x:v>实际PT+实际SET</x:v>
      </x:c>
      <x:c r="AC4" s="36" t="str">
        <x:v>S+实际AT</x:v>
      </x:c>
      <x:c r="AD4" s="36" t="str">
        <x:v>Fstart+(1-Fstart)*(1-EXP(-lambda*实际AT))</x:v>
      </x:c>
      <x:c r="AE4" s="36" t="str">
        <x:v>非首次=max(0,S-Mavail)</x:v>
      </x:c>
      <x:c r="AF4" s="36" t="str">
        <x:v>查机器</x:v>
      </x:c>
      <x:c r="AG4" s="36" t="str">
        <x:v>实际AT*P+idle</x:v>
      </x:c>
      <x:c r="AH4" s="36" t="str">
        <x:v>(实际AT+idle)*costRate</x:v>
      </x:c>
    </x:row>
    <x:row r="5">
      <x:c r="A5" s="7" t="n">
        <x:v>1</x:v>
      </x:c>
      <x:c r="B5" s="32"/>
      <x:c r="C5" s="32"/>
      <x:c r="D5" s="32"/>
      <x:c r="E5" s="32"/>
      <x:c r="F5" s="32"/>
      <x:c r="G5" s="32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</x:row>
    <x:row r="6">
      <x:c r="A6" s="7" t="n">
        <x:v>2</x:v>
      </x:c>
      <x:c r="B6" s="32"/>
      <x:c r="C6" s="32"/>
      <x:c r="D6" s="32"/>
      <x:c r="E6" s="32"/>
      <x:c r="F6" s="32"/>
      <x:c r="G6" s="32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  <x:c r="AA6" s="37"/>
      <x:c r="AB6" s="37"/>
      <x:c r="AC6" s="37"/>
      <x:c r="AD6" s="37"/>
      <x:c r="AE6" s="37"/>
      <x:c r="AF6" s="37"/>
      <x:c r="AG6" s="37"/>
      <x:c r="AH6" s="37"/>
    </x:row>
    <x:row r="7">
      <x:c r="A7" s="7" t="n">
        <x:v>3</x:v>
      </x:c>
      <x:c r="B7" s="32"/>
      <x:c r="C7" s="32"/>
      <x:c r="D7" s="32"/>
      <x:c r="E7" s="32"/>
      <x:c r="F7" s="32"/>
      <x:c r="G7" s="32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  <x:c r="AA7" s="37"/>
      <x:c r="AB7" s="37"/>
      <x:c r="AC7" s="37"/>
      <x:c r="AD7" s="37"/>
      <x:c r="AE7" s="37"/>
      <x:c r="AF7" s="37"/>
      <x:c r="AG7" s="37"/>
      <x:c r="AH7" s="37"/>
    </x:row>
    <x:row r="8">
      <x:c r="A8" s="7" t="n">
        <x:v>4</x:v>
      </x:c>
      <x:c r="B8" s="32"/>
      <x:c r="C8" s="32"/>
      <x:c r="D8" s="32"/>
      <x:c r="E8" s="32"/>
      <x:c r="F8" s="32"/>
      <x:c r="G8" s="32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</x:row>
    <x:row r="9">
      <x:c r="A9" s="7" t="n">
        <x:v>5</x:v>
      </x:c>
      <x:c r="B9" s="32"/>
      <x:c r="C9" s="32"/>
      <x:c r="D9" s="32"/>
      <x:c r="E9" s="32"/>
      <x:c r="F9" s="32"/>
      <x:c r="G9" s="32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</x:row>
    <x:row r="10">
      <x:c r="A10" s="7" t="n">
        <x:v>6</x:v>
      </x:c>
      <x:c r="B10" s="32"/>
      <x:c r="C10" s="32"/>
      <x:c r="D10" s="32"/>
      <x:c r="E10" s="32"/>
      <x:c r="F10" s="32"/>
      <x:c r="G10" s="32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</x:row>
    <x:row r="11">
      <x:c r="A11" s="7" t="n">
        <x:v>7</x:v>
      </x:c>
      <x:c r="B11" s="32"/>
      <x:c r="C11" s="32"/>
      <x:c r="D11" s="32"/>
      <x:c r="E11" s="32"/>
      <x:c r="F11" s="32"/>
      <x:c r="G11" s="32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</x:row>
    <x:row r="12">
      <x:c r="A12" s="7" t="n">
        <x:v>8</x:v>
      </x:c>
      <x:c r="B12" s="32"/>
      <x:c r="C12" s="32"/>
      <x:c r="D12" s="32"/>
      <x:c r="E12" s="32"/>
      <x:c r="F12" s="32"/>
      <x:c r="G12" s="32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</x:row>
    <x:row r="13">
      <x:c r="A13" s="7" t="n">
        <x:v>9</x:v>
      </x:c>
      <x:c r="B13" s="32"/>
      <x:c r="C13" s="32"/>
      <x:c r="D13" s="32"/>
      <x:c r="E13" s="32"/>
      <x:c r="F13" s="32"/>
      <x:c r="G13" s="32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</x:row>
    <x:row r="14">
      <x:c r="A14" s="7" t="n">
        <x:v>10</x:v>
      </x:c>
      <x:c r="B14" s="32"/>
      <x:c r="C14" s="32"/>
      <x:c r="D14" s="32"/>
      <x:c r="E14" s="32"/>
      <x:c r="F14" s="32"/>
      <x:c r="G14" s="32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</x:row>
  </x:sheetData>
  <x:mergeCells>
    <x:mergeCell ref="A1:A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56" hidden="0" customWidth="1"/>
    <x:col min="5" max="5" width="16" hidden="0" customWidth="1"/>
    <x:col min="6" max="6" width="28" hidden="0" customWidth="1"/>
  </x:cols>
  <x:sheetData>
    <x:row r="1" ht="30" customHeight="1">
      <x:c r="A1" s="4" t="str">
        <x:v>本人汇总目标与疲劳指标（不含标准答案）</x:v>
      </x:c>
      <x:c r="B1" s="4" t="str">
        <x:v>本人汇总目标与疲劳指标（不含标准答案）</x:v>
      </x:c>
      <x:c r="C1" s="4" t="str">
        <x:v>本人汇总目标与疲劳指标（不含标准答案）</x:v>
      </x:c>
      <x:c r="D1" s="4" t="str">
        <x:v>本人汇总目标与疲劳指标（不含标准答案）</x:v>
      </x:c>
      <x:c r="E1" s="4" t="str">
        <x:v>本人汇总目标与疲劳指标（不含标准答案）</x:v>
      </x:c>
      <x:c r="F1" s="4" t="str">
        <x:v>本人汇总目标与疲劳指标（不含标准答案）</x:v>
      </x:c>
    </x:row>
    <x:row r="3" ht="32" customHeight="1">
      <x:c r="A3" s="13" t="str">
        <x:v>指标</x:v>
      </x:c>
      <x:c r="B3" s="13" t="str">
        <x:v>FM0本人结果</x:v>
      </x:c>
      <x:c r="C3" s="13" t="str">
        <x:v>FM3本人结果</x:v>
      </x:c>
      <x:c r="D3" s="13" t="str">
        <x:v>公式/口径提示</x:v>
      </x:c>
      <x:c r="E3" s="13" t="str">
        <x:v>单位</x:v>
      </x:c>
      <x:c r="F3" s="13" t="str">
        <x:v>备注</x:v>
      </x:c>
    </x:row>
    <x:row r="4">
      <x:c r="A4" s="26" t="str">
        <x:v>Cmax</x:v>
      </x:c>
      <x:c r="B4" s="38"/>
      <x:c r="C4" s="38"/>
      <x:c r="D4" s="39" t="str">
        <x:v>MAX(各工件第二阶段结束时间)</x:v>
      </x:c>
      <x:c r="E4" s="39"/>
      <x:c r="F4" s="39"/>
    </x:row>
    <x:row r="5">
      <x:c r="A5" s="26" t="str">
        <x:v>加工能耗</x:v>
      </x:c>
      <x:c r="B5" s="38"/>
      <x:c r="C5" s="38"/>
      <x:c r="D5" s="39" t="str">
        <x:v>SUM(实际AT×机器功率)</x:v>
      </x:c>
      <x:c r="E5" s="39"/>
      <x:c r="F5" s="39"/>
    </x:row>
    <x:row r="6">
      <x:c r="A6" s="26" t="str">
        <x:v>待机能耗</x:v>
      </x:c>
      <x:c r="B6" s="38"/>
      <x:c r="C6" s="38"/>
      <x:c r="D6" s="39" t="str">
        <x:v>SUM(非首次机器正空闲×1.0)</x:v>
      </x:c>
      <x:c r="E6" s="39"/>
      <x:c r="F6" s="39"/>
    </x:row>
    <x:row r="7">
      <x:c r="A7" s="26" t="str">
        <x:v>TEC</x:v>
      </x:c>
      <x:c r="B7" s="38"/>
      <x:c r="C7" s="38"/>
      <x:c r="D7" s="39" t="str">
        <x:v>加工能耗+待机能耗</x:v>
      </x:c>
      <x:c r="E7" s="39"/>
      <x:c r="F7" s="39"/>
    </x:row>
    <x:row r="8">
      <x:c r="A8" s="26" t="str">
        <x:v>TWC</x:v>
      </x:c>
      <x:c r="B8" s="38"/>
      <x:c r="C8" s="38"/>
      <x:c r="D8" s="39" t="str">
        <x:v>SUM((实际AT+机器空闲)×工人成本率)</x:v>
      </x:c>
      <x:c r="E8" s="39"/>
      <x:c r="F8" s="39"/>
    </x:row>
    <x:row r="9">
      <x:c r="A9" s="26" t="str">
        <x:v>Fmax</x:v>
      </x:c>
      <x:c r="B9" s="38"/>
      <x:c r="C9" s="38"/>
      <x:c r="D9" s="39" t="str">
        <x:v>MAX(每道工序结束疲劳)</x:v>
      </x:c>
      <x:c r="E9" s="39"/>
      <x:c r="F9" s="39"/>
    </x:row>
    <x:row r="10">
      <x:c r="A10" s="26" t="str">
        <x:v>Favg</x:v>
      </x:c>
      <x:c r="B10" s="38"/>
      <x:c r="C10" s="38"/>
      <x:c r="D10" s="39" t="str">
        <x:v>AVERAGE(每道工序结束疲劳)</x:v>
      </x:c>
      <x:c r="E10" s="39"/>
      <x:c r="F10" s="39"/>
    </x:row>
    <x:row r="11">
      <x:c r="A11" s="26" t="str">
        <x:v>FE</x:v>
      </x:c>
      <x:c r="B11" s="38"/>
      <x:c r="C11" s="38"/>
      <x:c r="D11" s="39" t="str">
        <x:v>超过Fwarn=0.80部分的解析积分；若无超阈先填0并说明</x:v>
      </x:c>
      <x:c r="E11" s="39"/>
      <x:c r="F11" s="39"/>
    </x:row>
    <x:row r="12">
      <x:c r="A12" s="26" t="str">
        <x:v>Var(Fw)</x:v>
      </x:c>
      <x:c r="B12" s="38"/>
      <x:c r="C12" s="38"/>
      <x:c r="D12" s="39" t="str">
        <x:v>各合法工人在Cmax时疲劳的总体方差</x:v>
      </x:c>
      <x:c r="E12" s="39"/>
      <x:c r="F12" s="39"/>
    </x:row>
    <x:row r="13">
      <x:c r="A13" s="26" t="str">
        <x:v>高疲劳比例</x:v>
      </x:c>
      <x:c r="B13" s="38"/>
      <x:c r="C13" s="38"/>
      <x:c r="D13" s="39" t="str">
        <x:v>高于0.80的工人时间/(工人数×Cmax)</x:v>
      </x:c>
      <x:c r="E13" s="39"/>
      <x:c r="F13" s="39"/>
    </x:row>
    <x:row r="14">
      <x:c r="A14" s="26" t="str">
        <x:v>最长连续工作</x:v>
      </x:c>
      <x:c r="B14" s="38"/>
      <x:c r="C14" s="38"/>
      <x:c r="D14" s="39" t="str">
        <x:v>同一工人零间隙连续工序实际AT之和最大值</x:v>
      </x:c>
      <x:c r="E14" s="39"/>
      <x:c r="F14" s="39"/>
    </x:row>
    <x:row r="15">
      <x:c r="A15" s="26" t="str">
        <x:v>自然恢复总时长</x:v>
      </x:c>
      <x:c r="B15" s="38"/>
      <x:c r="C15" s="38"/>
      <x:c r="D15" s="39" t="str">
        <x:v>同一工人相邻任务间正空闲之和，不含初始和尾部</x:v>
      </x:c>
      <x:c r="E15" s="39"/>
      <x:c r="F15" s="39"/>
    </x:row>
    <x:row r="16">
      <x:c r="A16" s="26" t="str">
        <x:v>负载不均衡</x:v>
      </x:c>
      <x:c r="B16" s="38"/>
      <x:c r="C16" s="38"/>
      <x:c r="D16" s="39" t="str">
        <x:v>按论文/程序当前口径，在程序对照阶段再核对</x:v>
      </x:c>
      <x:c r="E16" s="39"/>
      <x:c r="F16" s="39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26" hidden="0" customWidth="1"/>
    <x:col min="5" max="5" width="12" hidden="0" customWidth="1"/>
    <x:col min="6" max="6" width="40" hidden="0" customWidth="1"/>
  </x:cols>
  <x:sheetData>
    <x:row r="1" ht="30" customHeight="1">
      <x:c r="A1" s="4" t="str">
        <x:v>本人可行性检查记录</x:v>
      </x:c>
      <x:c r="B1" s="4" t="str">
        <x:v>本人可行性检查记录</x:v>
      </x:c>
      <x:c r="C1" s="4" t="str">
        <x:v>本人可行性检查记录</x:v>
      </x:c>
      <x:c r="D1" s="4" t="str">
        <x:v>本人可行性检查记录</x:v>
      </x:c>
      <x:c r="E1" s="4" t="str">
        <x:v>本人可行性检查记录</x:v>
      </x:c>
      <x:c r="F1" s="4" t="str">
        <x:v>本人可行性检查记录</x:v>
      </x:c>
    </x:row>
    <x:row r="3" ht="32" customHeight="1">
      <x:c r="A3" s="13" t="str">
        <x:v>检查类别</x:v>
      </x:c>
      <x:c r="B3" s="13" t="str">
        <x:v>对象</x:v>
      </x:c>
      <x:c r="C3" s="13" t="str">
        <x:v>左侧区间/值</x:v>
      </x:c>
      <x:c r="D3" s="13" t="str">
        <x:v>右侧区间/值</x:v>
      </x:c>
      <x:c r="E3" s="13" t="str">
        <x:v>通过?</x:v>
      </x:c>
      <x:c r="F3" s="13" t="str">
        <x:v>本人说明</x:v>
      </x:c>
    </x:row>
    <x:row r="4">
      <x:c r="A4" s="7" t="str">
        <x:v>工件前序</x:v>
      </x:c>
      <x:c r="B4" s="7" t="str">
        <x:v>J1: S1结束 ≤ S2开始</x:v>
      </x:c>
      <x:c r="C4" s="32" t="str"/>
      <x:c r="D4" s="32" t="str"/>
      <x:c r="E4" s="32" t="str"/>
      <x:c r="F4" s="32" t="str"/>
    </x:row>
    <x:row r="5">
      <x:c r="A5" s="7" t="str">
        <x:v>工件前序</x:v>
      </x:c>
      <x:c r="B5" s="7" t="str">
        <x:v>J2: S1结束 ≤ S2开始</x:v>
      </x:c>
      <x:c r="C5" s="32" t="str"/>
      <x:c r="D5" s="32" t="str"/>
      <x:c r="E5" s="32" t="str"/>
      <x:c r="F5" s="32" t="str"/>
    </x:row>
    <x:row r="6">
      <x:c r="A6" s="7" t="str">
        <x:v>工件前序</x:v>
      </x:c>
      <x:c r="B6" s="7" t="str">
        <x:v>J3: S1结束 ≤ S2开始</x:v>
      </x:c>
      <x:c r="C6" s="32" t="str"/>
      <x:c r="D6" s="32" t="str"/>
      <x:c r="E6" s="32" t="str"/>
      <x:c r="F6" s="32" t="str"/>
    </x:row>
    <x:row r="7">
      <x:c r="A7" s="7" t="str">
        <x:v>工件前序</x:v>
      </x:c>
      <x:c r="B7" s="7" t="str">
        <x:v>J4: S1结束 ≤ S2开始</x:v>
      </x:c>
      <x:c r="C7" s="32" t="str"/>
      <x:c r="D7" s="32" t="str"/>
      <x:c r="E7" s="32" t="str"/>
      <x:c r="F7" s="32" t="str"/>
    </x:row>
    <x:row r="8">
      <x:c r="A8" s="7" t="str">
        <x:v>工件前序</x:v>
      </x:c>
      <x:c r="B8" s="7" t="str">
        <x:v>J5: S1结束 ≤ S2开始</x:v>
      </x:c>
      <x:c r="C8" s="32" t="str"/>
      <x:c r="D8" s="32" t="str"/>
      <x:c r="E8" s="32" t="str"/>
      <x:c r="F8" s="32" t="str"/>
    </x:row>
    <x:row r="9">
      <x:c r="A9" s="7" t="str">
        <x:v>机器不重叠</x:v>
      </x:c>
      <x:c r="B9" s="7" t="str">
        <x:v>F1-S1-M1</x:v>
      </x:c>
      <x:c r="C9" s="32" t="str"/>
      <x:c r="D9" s="32" t="str"/>
      <x:c r="E9" s="32" t="str"/>
      <x:c r="F9" s="32" t="str"/>
    </x:row>
    <x:row r="10">
      <x:c r="A10" s="7" t="str">
        <x:v>机器不重叠</x:v>
      </x:c>
      <x:c r="B10" s="7" t="str">
        <x:v>F1-S1-M2</x:v>
      </x:c>
      <x:c r="C10" s="32" t="str"/>
      <x:c r="D10" s="32" t="str"/>
      <x:c r="E10" s="32" t="str"/>
      <x:c r="F10" s="32" t="str"/>
    </x:row>
    <x:row r="11">
      <x:c r="A11" s="7" t="str">
        <x:v>机器不重叠</x:v>
      </x:c>
      <x:c r="B11" s="7" t="str">
        <x:v>F1-S2-M1</x:v>
      </x:c>
      <x:c r="C11" s="32" t="str"/>
      <x:c r="D11" s="32" t="str"/>
      <x:c r="E11" s="32" t="str"/>
      <x:c r="F11" s="32" t="str"/>
    </x:row>
    <x:row r="12">
      <x:c r="A12" s="7" t="str">
        <x:v>机器不重叠</x:v>
      </x:c>
      <x:c r="B12" s="7" t="str">
        <x:v>F1-S2-M2</x:v>
      </x:c>
      <x:c r="C12" s="32" t="str"/>
      <x:c r="D12" s="32" t="str"/>
      <x:c r="E12" s="32" t="str"/>
      <x:c r="F12" s="32" t="str"/>
    </x:row>
    <x:row r="13">
      <x:c r="A13" s="7" t="str">
        <x:v>机器不重叠</x:v>
      </x:c>
      <x:c r="B13" s="7" t="str">
        <x:v>F2-S1-M1</x:v>
      </x:c>
      <x:c r="C13" s="32" t="str"/>
      <x:c r="D13" s="32" t="str"/>
      <x:c r="E13" s="32" t="str"/>
      <x:c r="F13" s="32" t="str"/>
    </x:row>
    <x:row r="14">
      <x:c r="A14" s="7" t="str">
        <x:v>机器不重叠</x:v>
      </x:c>
      <x:c r="B14" s="7" t="str">
        <x:v>F2-S1-M2</x:v>
      </x:c>
      <x:c r="C14" s="32" t="str"/>
      <x:c r="D14" s="32" t="str"/>
      <x:c r="E14" s="32" t="str"/>
      <x:c r="F14" s="32" t="str"/>
    </x:row>
    <x:row r="15">
      <x:c r="A15" s="7" t="str">
        <x:v>机器不重叠</x:v>
      </x:c>
      <x:c r="B15" s="7" t="str">
        <x:v>F2-S2-M1</x:v>
      </x:c>
      <x:c r="C15" s="32" t="str"/>
      <x:c r="D15" s="32" t="str"/>
      <x:c r="E15" s="32" t="str"/>
      <x:c r="F15" s="32" t="str"/>
    </x:row>
    <x:row r="16">
      <x:c r="A16" s="7" t="str">
        <x:v>机器不重叠</x:v>
      </x:c>
      <x:c r="B16" s="7" t="str">
        <x:v>F2-S2-M2</x:v>
      </x:c>
      <x:c r="C16" s="32" t="str"/>
      <x:c r="D16" s="32" t="str"/>
      <x:c r="E16" s="32" t="str"/>
      <x:c r="F16" s="32" t="str"/>
    </x:row>
    <x:row r="17">
      <x:c r="A17" s="7" t="str">
        <x:v>工人不重叠</x:v>
      </x:c>
      <x:c r="B17" s="7" t="str">
        <x:v>F1-globalW1</x:v>
      </x:c>
      <x:c r="C17" s="32" t="str"/>
      <x:c r="D17" s="32" t="str"/>
      <x:c r="E17" s="32" t="str"/>
      <x:c r="F17" s="32" t="str"/>
    </x:row>
    <x:row r="18">
      <x:c r="A18" s="7" t="str">
        <x:v>工人不重叠</x:v>
      </x:c>
      <x:c r="B18" s="7" t="str">
        <x:v>F1-globalW2</x:v>
      </x:c>
      <x:c r="C18" s="32" t="str"/>
      <x:c r="D18" s="32" t="str"/>
      <x:c r="E18" s="32" t="str"/>
      <x:c r="F18" s="32" t="str"/>
    </x:row>
    <x:row r="19">
      <x:c r="A19" s="7" t="str">
        <x:v>工人不重叠</x:v>
      </x:c>
      <x:c r="B19" s="7" t="str">
        <x:v>F1-globalW3</x:v>
      </x:c>
      <x:c r="C19" s="32" t="str"/>
      <x:c r="D19" s="32" t="str"/>
      <x:c r="E19" s="32" t="str"/>
      <x:c r="F19" s="32" t="str"/>
    </x:row>
    <x:row r="20">
      <x:c r="A20" s="7" t="str">
        <x:v>工人不重叠</x:v>
      </x:c>
      <x:c r="B20" s="7" t="str">
        <x:v>F1-globalW4</x:v>
      </x:c>
      <x:c r="C20" s="32" t="str"/>
      <x:c r="D20" s="32" t="str"/>
      <x:c r="E20" s="32" t="str"/>
      <x:c r="F20" s="32" t="str"/>
    </x:row>
    <x:row r="21">
      <x:c r="A21" s="7" t="str">
        <x:v>工人不重叠</x:v>
      </x:c>
      <x:c r="B21" s="7" t="str">
        <x:v>F2-globalW1</x:v>
      </x:c>
      <x:c r="C21" s="32" t="str"/>
      <x:c r="D21" s="32" t="str"/>
      <x:c r="E21" s="32" t="str"/>
      <x:c r="F21" s="32" t="str"/>
    </x:row>
    <x:row r="22">
      <x:c r="A22" s="7" t="str">
        <x:v>工人不重叠</x:v>
      </x:c>
      <x:c r="B22" s="7" t="str">
        <x:v>F2-globalW2</x:v>
      </x:c>
      <x:c r="C22" s="32" t="str"/>
      <x:c r="D22" s="32" t="str"/>
      <x:c r="E22" s="32" t="str"/>
      <x:c r="F22" s="32" t="str"/>
    </x:row>
    <x:row r="23">
      <x:c r="A23" s="7" t="str">
        <x:v>工人不重叠</x:v>
      </x:c>
      <x:c r="B23" s="7" t="str">
        <x:v>F2-globalW3</x:v>
      </x:c>
      <x:c r="C23" s="32" t="str"/>
      <x:c r="D23" s="32" t="str"/>
      <x:c r="E23" s="32" t="str"/>
      <x:c r="F23" s="32" t="str"/>
    </x:row>
    <x:row r="24">
      <x:c r="A24" s="7" t="str">
        <x:v>工人不重叠</x:v>
      </x:c>
      <x:c r="B24" s="7" t="str">
        <x:v>F2-globalW4</x:v>
      </x:c>
      <x:c r="C24" s="32" t="str"/>
      <x:c r="D24" s="32" t="str"/>
      <x:c r="E24" s="32" t="str"/>
      <x:c r="F24" s="32" t="str"/>
    </x:row>
    <x:row r="25">
      <x:c r="A25" s="7" t="str">
        <x:v>资源合法域</x:v>
      </x:c>
      <x:c r="B25" s="7" t="str">
        <x:v>10道工序</x:v>
      </x:c>
      <x:c r="C25" s="32" t="str"/>
      <x:c r="D25" s="32" t="str"/>
      <x:c r="E25" s="32" t="str"/>
      <x:c r="F25" s="32" t="str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4" t="str">
        <x:v>后续一次粒子进化与局部搜索（解码验收后再填写）</x:v>
      </x:c>
      <x:c r="B1" s="4" t="str">
        <x:v>后续一次粒子进化与局部搜索（解码验收后再填写）</x:v>
      </x:c>
      <x:c r="C1" s="4" t="str">
        <x:v>后续一次粒子进化与局部搜索（解码验收后再填写）</x:v>
      </x:c>
      <x:c r="D1" s="4" t="str">
        <x:v>后续一次粒子进化与局部搜索（解码验收后再填写）</x:v>
      </x:c>
      <x:c r="E1" s="4" t="str">
        <x:v>后续一次粒子进化与局部搜索（解码验收后再填写）</x:v>
      </x:c>
      <x:c r="F1" s="4" t="str">
        <x:v>后续一次粒子进化与局部搜索（解码验收后再填写）</x:v>
      </x:c>
    </x:row>
    <x:row r="3">
      <x:c r="A3" s="43" t="str">
        <x:v>当前状态</x:v>
      </x:c>
      <x:c r="B3" s="43" t="str">
        <x:v>LOCKED_UNTIL_MANUAL_DECODE_PASSED</x:v>
      </x:c>
      <x:c r="C3" s="43" t="str"/>
      <x:c r="D3" s="43" t="str"/>
      <x:c r="E3" s="43" t="str"/>
      <x:c r="F3" s="43" t="str"/>
    </x:row>
    <x:row r="4">
      <x:c r="A4" s="43" t="str">
        <x:v>说明</x:v>
      </x:c>
      <x:c r="B4" s="43" t="str">
        <x:v>本页没有pbest/gbest、Q动作、CFVF或邻域标准答案；本人手算验收后再冻结事件带。</x:v>
      </x:c>
      <x:c r="C4" s="43" t="str"/>
      <x:c r="D4" s="43" t="str"/>
      <x:c r="E4" s="43" t="str"/>
      <x:c r="F4" s="43" t="str"/>
    </x:row>
    <x:row r="6" ht="32" customHeight="1">
      <x:c r="A6" s="13" t="str">
        <x:v>步骤</x:v>
      </x:c>
      <x:c r="B6" s="13" t="str">
        <x:v>输入</x:v>
      </x:c>
      <x:c r="C6" s="13" t="str">
        <x:v>固定事件</x:v>
      </x:c>
      <x:c r="D6" s="13" t="str">
        <x:v>本人推导结果</x:v>
      </x:c>
      <x:c r="E6" s="13" t="str">
        <x:v>程序结果（后填）</x:v>
      </x:c>
      <x:c r="F6" s="13" t="str">
        <x:v>是否一致</x:v>
      </x:c>
    </x:row>
    <x:row r="7">
      <x:c r="A7" s="7" t="str">
        <x:v>当前X</x:v>
      </x:c>
      <x:c r="B7" s="33"/>
      <x:c r="C7" s="33"/>
      <x:c r="D7" s="32"/>
      <x:c r="E7" s="33"/>
      <x:c r="F7" s="33"/>
    </x:row>
    <x:row r="8">
      <x:c r="A8" s="7" t="str">
        <x:v>Qp选择pbest</x:v>
      </x:c>
      <x:c r="B8" s="33"/>
      <x:c r="C8" s="33"/>
      <x:c r="D8" s="32"/>
      <x:c r="E8" s="33"/>
      <x:c r="F8" s="33"/>
    </x:row>
    <x:row r="9">
      <x:c r="A9" s="7" t="str">
        <x:v>Qg选择gbest</x:v>
      </x:c>
      <x:c r="B9" s="33"/>
      <x:c r="C9" s="33"/>
      <x:c r="D9" s="32"/>
      <x:c r="E9" s="33"/>
      <x:c r="F9" s="33"/>
    </x:row>
    <x:row r="10">
      <x:c r="A10" s="7" t="str">
        <x:v>JS交换</x:v>
      </x:c>
      <x:c r="B10" s="33"/>
      <x:c r="C10" s="33"/>
      <x:c r="D10" s="32"/>
      <x:c r="E10" s="33"/>
      <x:c r="F10" s="33"/>
    </x:row>
    <x:row r="11">
      <x:c r="A11" s="7" t="str">
        <x:v>FMW/MW/M/W动作</x:v>
      </x:c>
      <x:c r="B11" s="33"/>
      <x:c r="C11" s="33"/>
      <x:c r="D11" s="32"/>
      <x:c r="E11" s="33"/>
      <x:c r="F11" s="33"/>
    </x:row>
    <x:row r="12">
      <x:c r="A12" s="7" t="str">
        <x:v>全局后代XG</x:v>
      </x:c>
      <x:c r="B12" s="33"/>
      <x:c r="C12" s="33"/>
      <x:c r="D12" s="32"/>
      <x:c r="E12" s="33"/>
      <x:c r="F12" s="33"/>
    </x:row>
    <x:row r="13">
      <x:c r="A13" s="7" t="str">
        <x:v>CA-TA上下文</x:v>
      </x:c>
      <x:c r="B13" s="33"/>
      <x:c r="C13" s="33"/>
      <x:c r="D13" s="32"/>
      <x:c r="E13" s="33"/>
      <x:c r="F13" s="33"/>
    </x:row>
    <x:row r="14">
      <x:c r="A14" s="7" t="str">
        <x:v>局部邻域</x:v>
      </x:c>
      <x:c r="B14" s="33"/>
      <x:c r="C14" s="33"/>
      <x:c r="D14" s="32"/>
      <x:c r="E14" s="33"/>
      <x:c r="F14" s="33"/>
    </x:row>
    <x:row r="15">
      <x:c r="A15" s="7" t="str">
        <x:v>局部后代XL</x:v>
      </x:c>
      <x:c r="B15" s="33"/>
      <x:c r="C15" s="33"/>
      <x:c r="D15" s="32"/>
      <x:c r="E15" s="33"/>
      <x:c r="F15" s="33"/>
    </x:row>
    <x:row r="16">
      <x:c r="A16" s="7" t="str">
        <x:v>PDDR结果</x:v>
      </x:c>
      <x:c r="B16" s="33"/>
      <x:c r="C16" s="33"/>
      <x:c r="D16" s="32"/>
      <x:c r="E16" s="33"/>
      <x:c r="F16" s="33"/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</x:cols>
  <x:sheetData>
    <x:row r="1" ht="30" customHeight="1">
      <x:c r="A1" s="23" t="str">
        <x:v>I0本人手算提交与答案解锁申请</x:v>
      </x:c>
      <x:c r="B1" s="23" t="str">
        <x:v>I0本人手算提交与答案解锁申请</x:v>
      </x:c>
      <x:c r="C1" s="4" t="str">
        <x:v>I0本人手算提交与答案解锁申请</x:v>
      </x:c>
      <x:c r="D1" s="4" t="str">
        <x:v>I0本人手算提交与答案解锁申请</x:v>
      </x:c>
      <x:c r="E1" s="4" t="str">
        <x:v>I0本人手算提交与答案解锁申请</x:v>
      </x:c>
    </x:row>
    <x:row r="2">
      <x:c r="A2" s="14"/>
      <x:c r="B2" s="14"/>
    </x:row>
    <x:row r="3">
      <x:c r="A3" s="26" t="str">
        <x:v>姓名</x:v>
      </x:c>
      <x:c r="B3" s="44" t="str"/>
    </x:row>
    <x:row r="4">
      <x:c r="A4" s="26" t="str">
        <x:v>完成日期</x:v>
      </x:c>
      <x:c r="B4" s="44" t="str"/>
    </x:row>
    <x:row r="5">
      <x:c r="A5" s="26" t="str">
        <x:v>使用工具</x:v>
      </x:c>
      <x:c r="B5" s="44" t="str">
        <x:v>计算器 / 本人输入Excel公式</x:v>
      </x:c>
    </x:row>
    <x:row r="6">
      <x:c r="A6" s="26" t="str">
        <x:v>中间精度</x:v>
      </x:c>
      <x:c r="B6" s="44" t="str">
        <x:v>至少12位小数</x:v>
      </x:c>
    </x:row>
    <x:row r="7">
      <x:c r="A7" s="26" t="str">
        <x:v>本人确认</x:v>
      </x:c>
      <x:c r="B7" s="44" t="str">
        <x:v>未查看或复制Java程序答案</x:v>
      </x:c>
    </x:row>
    <x:row r="8">
      <x:c r="A8" s="26" t="str">
        <x:v>备注</x:v>
      </x:c>
      <x:c r="B8" s="44" t="str"/>
    </x:row>
    <x:row r="9">
      <x:c r="A9" s="14"/>
      <x:c r="B9" s="14"/>
    </x:row>
    <x:row r="10" ht="32" customHeight="1">
      <x:c r="A10" s="13" t="str">
        <x:v>自动完整性检查</x:v>
      </x:c>
      <x:c r="B10" s="13" t="str">
        <x:v>结果</x:v>
      </x:c>
    </x:row>
    <x:row r="11">
      <x:c r="A11" s="26" t="str">
        <x:v>FM0剩余空白</x:v>
      </x:c>
      <x:c r="B11" s="14" t="n">
        <x:f>COUNTBLANK('FM0手算'!B5:X14)</x:f>
        <x:v>230</x:v>
      </x:c>
    </x:row>
    <x:row r="12">
      <x:c r="A12" s="26" t="str">
        <x:v>FM3剩余空白</x:v>
      </x:c>
      <x:c r="B12" s="14" t="n">
        <x:f>COUNTBLANK('FM3手算'!B5:AH14)</x:f>
        <x:v>330</x:v>
      </x:c>
    </x:row>
    <x:row r="13">
      <x:c r="A13" s="26" t="str">
        <x:v>目标表剩余空白</x:v>
      </x:c>
      <x:c r="B13" s="14" t="n">
        <x:f>COUNTBLANK('目标汇总'!B4:C16)</x:f>
        <x:v>26</x:v>
      </x:c>
    </x:row>
    <x:row r="14">
      <x:c r="A14" s="14"/>
      <x:c r="B14" s="14"/>
    </x:row>
    <x:row r="15">
      <x:c r="A15" s="26" t="str">
        <x:v>提交副本路径</x:v>
      </x:c>
      <x:c r="B15" s="44" t="str"/>
    </x:row>
    <x:row r="16">
      <x:c r="A16" s="26" t="str">
        <x:v>提交副本SHA-256</x:v>
      </x:c>
      <x:c r="B16" s="44" t="str"/>
    </x:row>
    <x:row r="17">
      <x:c r="A17" s="26" t="str">
        <x:v>P8.4解码语义已冻结</x:v>
      </x:c>
      <x:c r="B17" s="45" t="str">
        <x:v>否</x:v>
      </x:c>
    </x:row>
    <x:row r="18">
      <x:c r="A18" s="7" t="str">
        <x:v>允许生成程序答案</x:v>
      </x:c>
      <x:c r="B18" s="40" t="str">
        <x:v>否（需本人提交且P8.4冻结后解锁）</x:v>
      </x:c>
    </x:row>
  </x:sheetData>
  <x:mergeCells>
    <x:mergeCell ref="A1:E1"/>
  </x:mergeCells>
  <x:pageMargins left="0.7" right="0.7" top="0.75" bottom="0.75" header="0.3" footer="0.3"/>
</x:worksheet>
</file>