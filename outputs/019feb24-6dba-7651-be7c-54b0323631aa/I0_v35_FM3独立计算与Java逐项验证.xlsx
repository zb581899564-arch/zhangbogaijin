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589c3e9cb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从这里开始" sheetId="1" r:id="Rc4510f527ea047ce"/>
    <x:sheet xmlns:r="http://schemas.openxmlformats.org/officeDocument/2006/relationships" name="当前规则" sheetId="2" r:id="Re782fb0c59204963"/>
    <x:sheet xmlns:r="http://schemas.openxmlformats.org/officeDocument/2006/relationships" name="输入_工件" sheetId="3" r:id="R271d6686607f464c"/>
    <x:sheet xmlns:r="http://schemas.openxmlformats.org/officeDocument/2006/relationships" name="输入_机器" sheetId="4" r:id="R02d2bed493f54bc9"/>
    <x:sheet xmlns:r="http://schemas.openxmlformats.org/officeDocument/2006/relationships" name="输入_工人" sheetId="5" r:id="R9bad64738c4d4b2f"/>
    <x:sheet xmlns:r="http://schemas.openxmlformats.org/officeDocument/2006/relationships" name="粒子X0解码" sheetId="6" r:id="R0be3925dc87444fd"/>
    <x:sheet xmlns:r="http://schemas.openxmlformats.org/officeDocument/2006/relationships" name="第一道工序练习" sheetId="7" r:id="R5a1e464c57034179"/>
    <x:sheet xmlns:r="http://schemas.openxmlformats.org/officeDocument/2006/relationships" name="排程时间线" sheetId="8" r:id="Rf94f298f3840461a"/>
    <x:sheet xmlns:r="http://schemas.openxmlformats.org/officeDocument/2006/relationships" name="阶段2候选比较" sheetId="9" r:id="R65fb2b67c9d04f9c"/>
    <x:sheet xmlns:r="http://schemas.openxmlformats.org/officeDocument/2006/relationships" name="工时疲劳能耗" sheetId="10" r:id="R5a8b94a5630e46a8"/>
    <x:sheet xmlns:r="http://schemas.openxmlformats.org/officeDocument/2006/relationships" name="目标汇总" sheetId="11" r:id="R77a3888417bd405e"/>
    <x:sheet xmlns:r="http://schemas.openxmlformats.org/officeDocument/2006/relationships" name="提交检查" sheetId="12" r:id="Rbcc5324c9dc64427"/>
    <x:sheet xmlns:r="http://schemas.openxmlformats.org/officeDocument/2006/relationships" name="Java程序结果" sheetId="13" r:id="R16849e91bd1a40a4"/>
    <x:sheet xmlns:r="http://schemas.openxmlformats.org/officeDocument/2006/relationships" name="逐项验证" sheetId="14" r:id="R82be8ce528f54149"/>
    <x:sheet xmlns:r="http://schemas.openxmlformats.org/officeDocument/2006/relationships" name="370字段明细" sheetId="15" r:id="R6abdcbdb9679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000"/>
    <x:numFmt numFmtId="201" formatCode="@"/>
    <x:numFmt numFmtId="202" formatCode="0"/>
    <x:numFmt numFmtId="203" formatCode="0.000000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9C2F1B"/>
      <x:name val="Carlito"/>
    </x:font>
    <x:font>
      <x:sz val="11"/>
      <x:color rgb="FF263238"/>
      <x:name val="Carlito"/>
    </x:font>
    <x:font>
      <x:b/>
      <x:sz val="11"/>
      <x:color rgb="FF008000"/>
      <x:name val="Carlito"/>
    </x:font>
    <x:font>
      <x:b/>
      <x:sz val="16"/>
      <x:color rgb="FFFFFFFF"/>
      <x:name val="Carlito"/>
    </x:font>
    <x:font>
      <x:b/>
      <x:sz val="14"/>
      <x:color rgb="FF008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5A66"/>
      </x:patternFill>
    </x:fill>
    <x:fill>
      <x:patternFill patternType="solid">
        <x:fgColor rgb="FF2F7F83"/>
      </x:patternFill>
    </x:fill>
    <x:fill>
      <x:patternFill patternType="solid">
        <x:fgColor rgb="FFDCEAF7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2D888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0F6571"/>
      </x:patternFill>
    </x:fill>
  </x:fills>
  <x:borders count="12">
    <x:border/>
    <x:border>
      <x:left style="thin">
        <x:color rgb="FFB8C6CC"/>
      </x:left>
      <x:right style="thin">
        <x:color rgb="FFB8C6CC"/>
      </x:right>
      <x:top style="thin">
        <x:color rgb="FFB8C6CC"/>
      </x:top>
      <x:bottom style="thin">
        <x:color rgb="FFB8C6CC"/>
      </x:bottom>
    </x:border>
    <x:border>
      <x:left style="medium">
        <x:color rgb="FFC65911"/>
      </x:left>
      <x:top style="medium">
        <x:color rgb="FFC65911"/>
      </x:top>
    </x:border>
    <x:border>
      <x:top style="medium">
        <x:color rgb="FFC65911"/>
      </x:top>
    </x:border>
    <x:border>
      <x:right style="medium">
        <x:color rgb="FFC65911"/>
      </x:right>
      <x:top style="medium">
        <x:color rgb="FFC65911"/>
      </x:top>
    </x:border>
    <x:border>
      <x:left style="medium">
        <x:color rgb="FFC65911"/>
      </x:left>
    </x:border>
    <x:border>
      <x:right style="medium">
        <x:color rgb="FFC65911"/>
      </x:right>
    </x:border>
    <x:border>
      <x:left style="medium">
        <x:color rgb="FFC65911"/>
      </x:left>
      <x:bottom style="medium">
        <x:color rgb="FFC65911"/>
      </x:bottom>
    </x:border>
    <x:border>
      <x:bottom style="medium">
        <x:color rgb="FFC65911"/>
      </x:bottom>
    </x:border>
    <x:border>
      <x:right style="medium">
        <x:color rgb="FFC65911"/>
      </x:right>
      <x:bottom style="medium">
        <x:color rgb="FFC65911"/>
      </x:bottom>
    </x:border>
    <x:border>
      <x:left style="thin">
        <x:color rgb="FFB7C9CE"/>
      </x:left>
      <x:right style="thin">
        <x:color rgb="FFB7C9CE"/>
      </x:right>
      <x:top style="thin">
        <x:color rgb="FFB7C9CE"/>
      </x:top>
      <x:bottom style="thin">
        <x:color rgb="FFB7C9CE"/>
      </x:bottom>
    </x:border>
    <x:border>
      <x:left style="thin">
        <x:color rgb="FFC8D4D8"/>
      </x:left>
      <x:right style="thin">
        <x:color rgb="FFC8D4D8"/>
      </x:right>
      <x:top style="thin">
        <x:color rgb="FFC8D4D8"/>
      </x:top>
      <x:bottom style="thin">
        <x:color rgb="FFC8D4D8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6" xfId="0" applyNumberFormat="1" applyFont="1" applyFill="1" applyBorder="1" applyAlignment="1">
      <x:alignment horizontal="center" wrapText="1"/>
    </x:xf>
    <x:xf numFmtId="0" fontId="4" fillId="6" borderId="7" xfId="0" applyNumberFormat="1" applyFont="1" applyFill="1" applyBorder="1" applyAlignment="1">
      <x:alignment horizontal="center" wrapText="1"/>
    </x:xf>
    <x:xf numFmtId="0" fontId="4" fillId="6" borderId="8" xfId="0" applyNumberFormat="1" applyFont="1" applyFill="1" applyBorder="1" applyAlignment="1">
      <x:alignment horizontal="center" wrapText="1"/>
    </x:xf>
    <x:xf numFmtId="0" fontId="4" fillId="6" borderId="9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200" fontId="3" fillId="7" borderId="1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7" borderId="0" xfId="0" applyNumberFormat="1" applyFont="1" applyFill="1" applyBorder="1"/>
    <x:xf numFmtId="201" fontId="3" fillId="7" borderId="0" xfId="0" applyNumberFormat="1" applyFont="1" applyFill="1" applyBorder="1"/>
    <x:xf numFmtId="201" fontId="3" fillId="7" borderId="1" xfId="0" applyNumberFormat="1" applyFont="1" applyFill="1" applyBorder="1"/>
    <x:xf numFmtId="201" fontId="3" fillId="7" borderId="1" xfId="0" applyNumberFormat="1" applyFont="1" applyFill="1" applyBorder="1" applyAlignment="1">
      <x:alignment wrapText="1"/>
    </x:xf>
    <x:xf numFmtId="20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10" xfId="0" applyNumberFormat="1" applyFont="1" applyFill="1" applyBorder="1"/>
    <x:xf numFmtId="0" fontId="2" fillId="9" borderId="10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horizontal="center" wrapText="1"/>
    </x:xf>
    <x:xf numFmtId="0" fontId="2" fillId="9" borderId="1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1" xfId="0" applyNumberFormat="1" applyFont="1" applyFill="1" applyBorder="1"/>
    <x:xf numFmtId="0" fontId="5" fillId="10" borderId="11" xfId="0" applyNumberFormat="1" applyFont="1" applyFill="1" applyBorder="1" applyAlignment="1">
      <x:alignment wrapText="1"/>
    </x:xf>
    <x:xf numFmtId="0" fontId="5" fillId="10" borderId="11" xfId="0" applyNumberFormat="1" applyFont="1" applyFill="1" applyBorder="1" applyAlignment="1">
      <x:alignment vertical="center" wrapText="1"/>
    </x:xf>
    <x:xf numFmtId="0" fontId="6" fillId="10" borderId="1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vertical="center" wrapText="1"/>
    </x:xf>
    <x:xf numFmtId="202" fontId="3" fillId="7" borderId="1" xfId="0" applyNumberFormat="1" applyFont="1" applyFill="1" applyBorder="1" applyAlignment="1">
      <x:alignment vertical="center" wrapText="1"/>
    </x:xf>
    <x:xf numFmtId="203" fontId="3" fillId="7" borderId="1" xfId="0" applyNumberFormat="1" applyFont="1" applyFill="1" applyBorder="1" applyAlignment="1">
      <x:alignment vertical="center" wrapText="1"/>
    </x:xf>
    <x:xf numFmtId="203" fontId="3" fillId="4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1" xfId="0" applyNumberFormat="1" applyFont="1" applyFill="1" applyBorder="1"/>
    <x:xf numFmtId="0" fontId="5" fillId="11" borderId="11" xfId="0" applyNumberFormat="1" applyFont="1" applyFill="1" applyBorder="1" applyAlignment="1">
      <x:alignment wrapText="1"/>
    </x:xf>
    <x:xf numFmtId="0" fontId="5" fillId="11" borderId="11" xfId="0" applyNumberFormat="1" applyFont="1" applyFill="1" applyBorder="1" applyAlignment="1">
      <x:alignment vertical="center" wrapText="1"/>
    </x:xf>
    <x:xf numFmtId="200" fontId="5" fillId="11" borderId="1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0" fontId="8" fillId="10" borderId="11" xfId="0" applyNumberFormat="1" applyFont="1" applyFill="1" applyBorder="1" applyAlignment="1">
      <x:alignment vertical="center" wrapText="1"/>
    </x:xf>
    <x:xf numFmtId="200" fontId="5" fillId="1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08f738d9f42f2" /><Relationship Type="http://schemas.openxmlformats.org/officeDocument/2006/relationships/theme" Target="/xl/theme/theme1.xml" Id="Rb6c2580dc22649c6" /><Relationship Type="http://schemas.microsoft.com/office/2022/11/relationships/FeaturePropertyBag" Target="/xl/featurePropertyBag/featurePropertyBag.xml" Id="Rc4fbc72975b64643" /><Relationship Type="http://schemas.openxmlformats.org/officeDocument/2006/relationships/sharedStrings" Target="/xl/sharedStrings.xml" Id="R700ae1b1e92d4d16" /><Relationship Type="http://schemas.openxmlformats.org/officeDocument/2006/relationships/worksheet" Target="/xl/worksheets/sheet1.xml" Id="Rc4510f527ea047ce" /><Relationship Type="http://schemas.openxmlformats.org/officeDocument/2006/relationships/worksheet" Target="/xl/worksheets/sheet2.xml" Id="Re782fb0c59204963" /><Relationship Type="http://schemas.openxmlformats.org/officeDocument/2006/relationships/worksheet" Target="/xl/worksheets/sheet3.xml" Id="R271d6686607f464c" /><Relationship Type="http://schemas.openxmlformats.org/officeDocument/2006/relationships/worksheet" Target="/xl/worksheets/sheet4.xml" Id="R02d2bed493f54bc9" /><Relationship Type="http://schemas.openxmlformats.org/officeDocument/2006/relationships/worksheet" Target="/xl/worksheets/sheet5.xml" Id="R9bad64738c4d4b2f" /><Relationship Type="http://schemas.openxmlformats.org/officeDocument/2006/relationships/worksheet" Target="/xl/worksheets/sheet6.xml" Id="R0be3925dc87444fd" /><Relationship Type="http://schemas.openxmlformats.org/officeDocument/2006/relationships/worksheet" Target="/xl/worksheets/sheet7.xml" Id="R5a1e464c57034179" /><Relationship Type="http://schemas.openxmlformats.org/officeDocument/2006/relationships/worksheet" Target="/xl/worksheets/sheet8.xml" Id="Rf94f298f3840461a" /><Relationship Type="http://schemas.openxmlformats.org/officeDocument/2006/relationships/worksheet" Target="/xl/worksheets/sheet9.xml" Id="R65fb2b67c9d04f9c" /><Relationship Type="http://schemas.openxmlformats.org/officeDocument/2006/relationships/worksheet" Target="/xl/worksheets/sheet10.xml" Id="R5a8b94a5630e46a8" /><Relationship Type="http://schemas.openxmlformats.org/officeDocument/2006/relationships/worksheet" Target="/xl/worksheets/sheet11.xml" Id="R77a3888417bd405e" /><Relationship Type="http://schemas.openxmlformats.org/officeDocument/2006/relationships/worksheet" Target="/xl/worksheets/sheet12.xml" Id="Rbcc5324c9dc64427" /><Relationship Type="http://schemas.openxmlformats.org/officeDocument/2006/relationships/worksheet" Target="/xl/worksheets/sheet13.xml" Id="R16849e91bd1a40a4" /><Relationship Type="http://schemas.openxmlformats.org/officeDocument/2006/relationships/worksheet" Target="/xl/worksheets/sheet14.xml" Id="R82be8ce528f54149" /><Relationship Type="http://schemas.openxmlformats.org/officeDocument/2006/relationships/worksheet" Target="/xl/worksheets/sheet15.xml" Id="R6abdcbdb96794b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52" hidden="0" customWidth="1"/>
    <x:col min="4" max="4" width="18" hidden="0" customWidth="1"/>
    <x:col min="5" max="5" width="38" hidden="0" customWidth="1"/>
    <x:col min="6" max="6" width="22" hidden="0" customWidth="1"/>
    <x:col min="7" max="7" width="4" hidden="0" customWidth="1"/>
    <x:col min="8" max="8" width="4" hidden="0" customWidth="1"/>
  </x:cols>
  <x:sheetData>
    <x:row r="1" ht="30" customHeight="1">
      <x:c r="A1" s="4" t="str">
        <x:v>I0-v35 当前正式FM3解码——独立计算与Java逐项验证完成版</x:v>
      </x:c>
      <x:c r="B1" s="4" t="str">
        <x:v>I0-v35 当前正式FM3解码——独立计算与Java逐项验证完成版</x:v>
      </x:c>
      <x:c r="C1" s="4" t="str">
        <x:v>I0-v35 当前正式FM3解码——独立计算与Java逐项验证完成版</x:v>
      </x:c>
      <x:c r="D1" s="4" t="str">
        <x:v>I0-v35 当前正式FM3解码——独立计算与Java逐项验证完成版</x:v>
      </x:c>
      <x:c r="E1" s="4" t="str">
        <x:v>I0-v35 当前正式FM3解码——独立计算与Java逐项验证完成版</x:v>
      </x:c>
      <x:c r="F1" s="4" t="str">
        <x:v>I0-v35 当前正式FM3解码——独立计算与Java逐项验证完成版</x:v>
      </x:c>
      <x:c r="G1" s="4" t="str">
        <x:v>I0-v35 当前正式FM3解码——独立计算与Java逐项验证完成版</x:v>
      </x:c>
      <x:c r="H1" s="4" t="str">
        <x:v>I0-v35 当前正式FM3解码——独立计算与Java逐项验证完成版</x:v>
      </x:c>
    </x:row>
    <x:row r="3">
      <x:c r="A3" s="10" t="str">
        <x:v>项目</x:v>
      </x:c>
      <x:c r="B3" s="10" t="str">
        <x:v>当前冻结值</x:v>
      </x:c>
      <x:c r="D3" s="10" t="str">
        <x:v>颜色</x:v>
      </x:c>
      <x:c r="E3" s="10" t="str">
        <x:v>含义</x:v>
      </x:c>
      <x:c r="F3" s="10" t="str">
        <x:v>你是否填写</x:v>
      </x:c>
    </x:row>
    <x:row r="4">
      <x:c r="A4" s="15" t="str">
        <x:v>实例</x:v>
      </x:c>
      <x:c r="B4" s="20" t="str">
        <x:v>I0-v35：5工件×2工厂×2阶段</x:v>
      </x:c>
      <x:c r="D4" s="20" t="str">
        <x:v>蓝色</x:v>
      </x:c>
      <x:c r="E4" s="20" t="str">
        <x:v>冻结输入或规则</x:v>
      </x:c>
      <x:c r="F4" s="20" t="str">
        <x:v>不填</x:v>
      </x:c>
    </x:row>
    <x:row r="5">
      <x:c r="A5" s="15" t="str">
        <x:v>Decoder</x:v>
      </x:c>
      <x:c r="B5" s="20" t="str">
        <x:v>FM3：疲劳累积 + 自然恢复 + 后续阶段疲劳ECT选工</x:v>
      </x:c>
      <x:c r="D5" s="20" t="str">
        <x:v>黄色</x:v>
      </x:c>
      <x:c r="E5" s="20" t="str">
        <x:v>本人手算区</x:v>
      </x:c>
      <x:c r="F5" s="20" t="str">
        <x:v>填写</x:v>
      </x:c>
    </x:row>
    <x:row r="6">
      <x:c r="A6" s="15" t="str">
        <x:v>设置时间</x:v>
      </x:c>
      <x:c r="B6" s="20" t="str">
        <x:v>SEQUENCE_INDEPENDENT：SUT只由当前工件和阶段决定</x:v>
      </x:c>
      <x:c r="D6" s="20" t="str">
        <x:v>绿色</x:v>
      </x:c>
      <x:c r="E6" s="20" t="str">
        <x:v>只检查你填入数值之间的公式关系</x:v>
      </x:c>
      <x:c r="F6" s="20" t="str">
        <x:v>不提供程序答案</x:v>
      </x:c>
    </x:row>
    <x:row r="7">
      <x:c r="A7" s="15" t="str">
        <x:v>产品族</x:v>
      </x:c>
      <x:c r="B7" s="20" t="str">
        <x:v>DEGENERATE_SINGLE_FAMILY：单产品族退化模式</x:v>
      </x:c>
      <x:c r="D7" s="20" t="str">
        <x:v>灰色</x:v>
      </x:c>
      <x:c r="E7" s="20" t="str">
        <x:v>说明、路径或历史边界</x:v>
      </x:c>
      <x:c r="F7" s="20" t="str">
        <x:v>只读</x:v>
      </x:c>
    </x:row>
    <x:row r="8">
      <x:c r="A8" s="15" t="str">
        <x:v>左移/右移</x:v>
      </x:c>
      <x:c r="B8" s="20" t="str">
        <x:v>ShiftMode=NONE：当前正式解码不执行FCLS/FCRS</x:v>
      </x:c>
      <x:c r="D8" s="20" t="str">
        <x:v>红色</x:v>
      </x:c>
      <x:c r="E8" s="20" t="str">
        <x:v>容易混淆的重要提醒</x:v>
      </x:c>
      <x:c r="F8" s="20" t="str">
        <x:v>认真阅读</x:v>
      </x:c>
    </x:row>
    <x:row r="9">
      <x:c r="A9" s="15" t="str">
        <x:v>粒子</x:v>
      </x:c>
      <x:c r="B9" s="20" t="str">
        <x:v>JS=[3,1,2,4,5]；FA=[1,2,2,1,1]；MA=[1,1,1,1,2]；WA=[1,1,1,2,2]</x:v>
      </x:c>
    </x:row>
    <x:row r="10">
      <x:c r="A10" s="15" t="str">
        <x:v>你要手算</x:v>
      </x:c>
      <x:c r="B10" s="20" t="str">
        <x:v>10道工序的排程、疲劳、动态工时、能耗、成本和Cmax/TEC/TWC</x:v>
      </x:c>
      <x:c r="D10" s="103" t="str">
        <x:v>验证项目</x:v>
      </x:c>
      <x:c r="E10" s="103" t="str">
        <x:v>结果</x:v>
      </x:c>
      <x:c r="F10" s="103" t="str">
        <x:v>判定</x:v>
      </x:c>
    </x:row>
    <x:row r="11">
      <x:c r="A11" s="15" t="str">
        <x:v>你不用手算</x:v>
      </x:c>
      <x:c r="B11" s="20" t="str">
        <x:v>Qg/Qp、CFVF、DSCR、CA-TA-Lite、PDDR；它们属于算法搜索，不属于单粒子解码</x:v>
      </x:c>
      <x:c r="D11" s="108" t="str">
        <x:v>10道工序</x:v>
      </x:c>
      <x:c r="E11" s="108" t="n">
        <x:v>10</x:v>
      </x:c>
      <x:c r="F11" s="109" t="str">
        <x:v>PASS</x:v>
      </x:c>
    </x:row>
    <x:row r="12">
      <x:c r="A12" s="15" t="str">
        <x:v>答案状态</x:v>
      </x:c>
      <x:c r="B12" s="20" t="str">
        <x:v>VALIDATED：独立公式计算与Java程序结果已经生成并逐项比较</x:v>
      </x:c>
      <x:c r="D12" s="108" t="str">
        <x:v>工序字段</x:v>
      </x:c>
      <x:c r="E12" s="108" t="str">
        <x:v>370/370</x:v>
      </x:c>
      <x:c r="F12" s="109" t="str">
        <x:v>PASS</x:v>
      </x:c>
    </x:row>
    <x:row r="13">
      <x:c r="A13" s="15" t="str">
        <x:v>输入SHA-256</x:v>
      </x:c>
      <x:c r="B13" s="20" t="str">
        <x:v>88efa7c0ef6bb1b5f434f592e6ace627ebf1a63cbfabcd5a630894a167e5c9af</x:v>
      </x:c>
      <x:c r="D13" s="108" t="str">
        <x:v>目标/指标</x:v>
      </x:c>
      <x:c r="E13" s="108" t="str">
        <x:v>11/11</x:v>
      </x:c>
      <x:c r="F13" s="109" t="str">
        <x:v>PASS</x:v>
      </x:c>
    </x:row>
    <x:row r="14">
      <x:c r="D14" s="108" t="str">
        <x:v>最大绝对误差</x:v>
      </x:c>
      <x:c r="E14" s="108" t="n">
        <x:v>3.552713678800501e-15</x:v>
      </x:c>
      <x:c r="F14" s="109" t="str">
        <x:v>≤1E-9</x:v>
      </x:c>
    </x:row>
    <x:row r="15">
      <x:c r="A15" s="10" t="str">
        <x:v>顺序</x:v>
      </x:c>
      <x:c r="B15" s="10" t="str">
        <x:v>打开的工作表</x:v>
      </x:c>
      <x:c r="C15" s="10" t="str">
        <x:v>做到什么程度</x:v>
      </x:c>
      <x:c r="D15" s="10" t="str">
        <x:v>完成后</x:v>
      </x:c>
    </x:row>
    <x:row r="16">
      <x:c r="A16" s="15" t="n">
        <x:v>1</x:v>
      </x:c>
      <x:c r="B16" s="15" t="str">
        <x:v>粒子X0解码</x:v>
      </x:c>
      <x:c r="C16" s="15" t="str">
        <x:v>看懂5个位置分别对应哪个工件/工厂/第一阶段机器和工人</x:v>
      </x:c>
      <x:c r="D16" s="15" t="str">
        <x:v>第一道工序练习</x:v>
      </x:c>
    </x:row>
    <x:row r="17">
      <x:c r="A17" s="15" t="n">
        <x:v>2</x:v>
      </x:c>
      <x:c r="B17" s="15" t="str">
        <x:v>第一道工序练习</x:v>
      </x:c>
      <x:c r="C17" s="15" t="str">
        <x:v>只算J3-S1，直到所有绿色检查为PASS</x:v>
      </x:c>
      <x:c r="D17" s="15" t="str">
        <x:v>排程时间线</x:v>
      </x:c>
    </x:row>
    <x:row r="18">
      <x:c r="A18" s="15" t="n">
        <x:v>3</x:v>
      </x:c>
      <x:c r="B18" s="15" t="str">
        <x:v>排程时间线</x:v>
      </x:c>
      <x:c r="C18" s="15" t="str">
        <x:v>先算两工厂第一阶段，再排第二阶段顺序</x:v>
      </x:c>
      <x:c r="D18" s="15" t="str">
        <x:v>阶段2候选比较</x:v>
      </x:c>
    </x:row>
    <x:row r="19">
      <x:c r="A19" s="15" t="n">
        <x:v>4</x:v>
      </x:c>
      <x:c r="B19" s="15" t="str">
        <x:v>阶段2候选比较</x:v>
      </x:c>
      <x:c r="C19" s="15" t="str">
        <x:v>每个第二阶段工件比较两个合法工人的疲劳修正结束时间</x:v>
      </x:c>
      <x:c r="D19" s="15" t="str">
        <x:v>工时疲劳能耗</x:v>
      </x:c>
    </x:row>
    <x:row r="20">
      <x:c r="A20" s="15" t="n">
        <x:v>5</x:v>
      </x:c>
      <x:c r="B20" s="15" t="str">
        <x:v>工时疲劳能耗</x:v>
      </x:c>
      <x:c r="C20" s="15" t="str">
        <x:v>填写10道工序的PT/SET/AT、疲劳、能耗和成本</x:v>
      </x:c>
      <x:c r="D20" s="15" t="str">
        <x:v>目标汇总</x:v>
      </x:c>
    </x:row>
    <x:row r="21">
      <x:c r="A21" s="15" t="n">
        <x:v>6</x:v>
      </x:c>
      <x:c r="B21" s="15" t="str">
        <x:v>目标汇总/提交检查</x:v>
      </x:c>
      <x:c r="C21" s="15" t="str">
        <x:v>重建Cmax、TEC、TWC并完成声明</x:v>
      </x:c>
      <x:c r="D21" s="15" t="str">
        <x:v>提交工作簿</x:v>
      </x:c>
    </x:row>
    <x:row r="23">
      <x:c r="A23" s="49" t="str">
        <x:v>本工作簿是验证完成版：独立公式计算未调用Java解码器；随后Java使用同一I0-v35、X0、FM3、SEQUENCE_INDEPENDENT和ShiftMode.NONE运行一次。两者逐字段比较全部通过。</x:v>
      </x:c>
      <x:c r="B23" s="50" t="str">
        <x:v>本工作簿是验证完成版：独立公式计算未调用Java解码器；随后Java使用同一I0-v35、X0、FM3、SEQUENCE_INDEPENDENT和ShiftMode.NONE运行一次。两者逐字段比较全部通过。</x:v>
      </x:c>
      <x:c r="C23" s="50" t="str">
        <x:v>本工作簿是验证完成版：独立公式计算未调用Java解码器；随后Java使用同一I0-v35、X0、FM3、SEQUENCE_INDEPENDENT和ShiftMode.NONE运行一次。两者逐字段比较全部通过。</x:v>
      </x:c>
      <x:c r="D23" s="50" t="str">
        <x:v>本工作簿是验证完成版：独立公式计算未调用Java解码器；随后Java使用同一I0-v35、X0、FM3、SEQUENCE_INDEPENDENT和ShiftMode.NONE运行一次。两者逐字段比较全部通过。</x:v>
      </x:c>
      <x:c r="E23" s="50" t="str">
        <x:v>本工作簿是验证完成版：独立公式计算未调用Java解码器；随后Java使用同一I0-v35、X0、FM3、SEQUENCE_INDEPENDENT和ShiftMode.NONE运行一次。两者逐字段比较全部通过。</x:v>
      </x:c>
      <x:c r="F23" s="50" t="str">
        <x:v>本工作簿是验证完成版：独立公式计算未调用Java解码器；随后Java使用同一I0-v35、X0、FM3、SEQUENCE_INDEPENDENT和ShiftMode.NONE运行一次。两者逐字段比较全部通过。</x:v>
      </x:c>
      <x:c r="G23" s="50" t="str">
        <x:v>本工作簿是验证完成版：独立公式计算未调用Java解码器；随后Java使用同一I0-v35、X0、FM3、SEQUENCE_INDEPENDENT和ShiftMode.NONE运行一次。两者逐字段比较全部通过。</x:v>
      </x:c>
      <x:c r="H23" s="51" t="str">
        <x:v>本工作簿是验证完成版：独立公式计算未调用Java解码器；随后Java使用同一I0-v35、X0、FM3、SEQUENCE_INDEPENDENT和ShiftMode.NONE运行一次。两者逐字段比较全部通过。</x:v>
      </x:c>
    </x:row>
    <x:row r="24">
      <x:c r="A24" s="52" t="str">
        <x:v>本工作簿是验证完成版：独立公式计算未调用Java解码器；随后Java使用同一I0-v35、X0、FM3、SEQUENCE_INDEPENDENT和ShiftMode.NONE运行一次。两者逐字段比较全部通过。</x:v>
      </x:c>
      <x:c r="B24" s="53" t="str">
        <x:v>本工作簿是验证完成版：独立公式计算未调用Java解码器；随后Java使用同一I0-v35、X0、FM3、SEQUENCE_INDEPENDENT和ShiftMode.NONE运行一次。两者逐字段比较全部通过。</x:v>
      </x:c>
      <x:c r="C24" s="53" t="str">
        <x:v>本工作簿是验证完成版：独立公式计算未调用Java解码器；随后Java使用同一I0-v35、X0、FM3、SEQUENCE_INDEPENDENT和ShiftMode.NONE运行一次。两者逐字段比较全部通过。</x:v>
      </x:c>
      <x:c r="D24" s="53" t="str">
        <x:v>本工作簿是验证完成版：独立公式计算未调用Java解码器；随后Java使用同一I0-v35、X0、FM3、SEQUENCE_INDEPENDENT和ShiftMode.NONE运行一次。两者逐字段比较全部通过。</x:v>
      </x:c>
      <x:c r="E24" s="53" t="str">
        <x:v>本工作簿是验证完成版：独立公式计算未调用Java解码器；随后Java使用同一I0-v35、X0、FM3、SEQUENCE_INDEPENDENT和ShiftMode.NONE运行一次。两者逐字段比较全部通过。</x:v>
      </x:c>
      <x:c r="F24" s="53" t="str">
        <x:v>本工作簿是验证完成版：独立公式计算未调用Java解码器；随后Java使用同一I0-v35、X0、FM3、SEQUENCE_INDEPENDENT和ShiftMode.NONE运行一次。两者逐字段比较全部通过。</x:v>
      </x:c>
      <x:c r="G24" s="53" t="str">
        <x:v>本工作簿是验证完成版：独立公式计算未调用Java解码器；随后Java使用同一I0-v35、X0、FM3、SEQUENCE_INDEPENDENT和ShiftMode.NONE运行一次。两者逐字段比较全部通过。</x:v>
      </x:c>
      <x:c r="H24" s="54" t="str">
        <x:v>本工作簿是验证完成版：独立公式计算未调用Java解码器；随后Java使用同一I0-v35、X0、FM3、SEQUENCE_INDEPENDENT和ShiftMode.NONE运行一次。两者逐字段比较全部通过。</x:v>
      </x:c>
    </x:row>
    <x:row r="25">
      <x:c r="A25" s="55" t="str">
        <x:v>本工作簿是验证完成版：独立公式计算未调用Java解码器；随后Java使用同一I0-v35、X0、FM3、SEQUENCE_INDEPENDENT和ShiftMode.NONE运行一次。两者逐字段比较全部通过。</x:v>
      </x:c>
      <x:c r="B25" s="56" t="str">
        <x:v>本工作簿是验证完成版：独立公式计算未调用Java解码器；随后Java使用同一I0-v35、X0、FM3、SEQUENCE_INDEPENDENT和ShiftMode.NONE运行一次。两者逐字段比较全部通过。</x:v>
      </x:c>
      <x:c r="C25" s="56" t="str">
        <x:v>本工作簿是验证完成版：独立公式计算未调用Java解码器；随后Java使用同一I0-v35、X0、FM3、SEQUENCE_INDEPENDENT和ShiftMode.NONE运行一次。两者逐字段比较全部通过。</x:v>
      </x:c>
      <x:c r="D25" s="56" t="str">
        <x:v>本工作簿是验证完成版：独立公式计算未调用Java解码器；随后Java使用同一I0-v35、X0、FM3、SEQUENCE_INDEPENDENT和ShiftMode.NONE运行一次。两者逐字段比较全部通过。</x:v>
      </x:c>
      <x:c r="E25" s="56" t="str">
        <x:v>本工作簿是验证完成版：独立公式计算未调用Java解码器；随后Java使用同一I0-v35、X0、FM3、SEQUENCE_INDEPENDENT和ShiftMode.NONE运行一次。两者逐字段比较全部通过。</x:v>
      </x:c>
      <x:c r="F25" s="56" t="str">
        <x:v>本工作簿是验证完成版：独立公式计算未调用Java解码器；随后Java使用同一I0-v35、X0、FM3、SEQUENCE_INDEPENDENT和ShiftMode.NONE运行一次。两者逐字段比较全部通过。</x:v>
      </x:c>
      <x:c r="G25" s="56" t="str">
        <x:v>本工作簿是验证完成版：独立公式计算未调用Java解码器；随后Java使用同一I0-v35、X0、FM3、SEQUENCE_INDEPENDENT和ShiftMode.NONE运行一次。两者逐字段比较全部通过。</x:v>
      </x:c>
      <x:c r="H25" s="57" t="str">
        <x:v>本工作簿是验证完成版：独立公式计算未调用Java解码器；随后Java使用同一I0-v35、X0、FM3、SEQUENCE_INDEPENDENT和ShiftMode.NONE运行一次。两者逐字段比较全部通过。</x:v>
      </x:c>
    </x:row>
  </x:sheetData>
  <x:mergeCells>
    <x:mergeCell ref="A1:H1"/>
    <x:mergeCell ref="A23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7" hidden="0" customWidth="1"/>
    <x:col min="3" max="3" width="50" hidden="0" customWidth="1"/>
    <x:col min="4" max="4" width="3" hidden="0" customWidth="1"/>
    <x:col min="5" max="5" width="25" hidden="0" customWidth="1"/>
    <x:col min="6" max="6" width="6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当前v3.5正式解码规则（手算依据）</x:v>
      </x:c>
      <x:c r="B1" s="4" t="str">
        <x:v>当前v3.5正式解码规则（手算依据）</x:v>
      </x:c>
      <x:c r="C1" s="4" t="str">
        <x:v>当前v3.5正式解码规则（手算依据）</x:v>
      </x:c>
      <x:c r="D1" s="4" t="str">
        <x:v>当前v3.5正式解码规则（手算依据）</x:v>
      </x:c>
      <x:c r="E1" s="4" t="str">
        <x:v>当前v3.5正式解码规则（手算依据）</x:v>
      </x:c>
      <x:c r="F1" s="4" t="str">
        <x:v>当前v3.5正式解码规则（手算依据）</x:v>
      </x:c>
      <x:c r="G1" s="4" t="str">
        <x:v>当前v3.5正式解码规则（手算依据）</x:v>
      </x:c>
      <x:c r="H1" s="4" t="str">
        <x:v>当前v3.5正式解码规则（手算依据）</x:v>
      </x:c>
    </x:row>
    <x:row r="3">
      <x:c r="A3" s="10" t="str">
        <x:v>步骤</x:v>
      </x:c>
      <x:c r="B3" s="10" t="str">
        <x:v>当前代码规则</x:v>
      </x:c>
      <x:c r="C3" s="10" t="str">
        <x:v>手算公式/判定</x:v>
      </x:c>
      <x:c r="E3" s="10" t="str">
        <x:v>配置项</x:v>
      </x:c>
      <x:c r="F3" s="10" t="str">
        <x:v>当前值</x:v>
      </x:c>
      <x:c r="G3" s="10" t="str">
        <x:v>是否进入本表</x:v>
      </x:c>
      <x:c r="H3" s="10" t="str">
        <x:v>说明</x:v>
      </x:c>
    </x:row>
    <x:row r="4">
      <x:c r="A4" s="15" t="n">
        <x:v>1</x:v>
      </x:c>
      <x:c r="B4" s="20" t="str">
        <x:v>按JS位置读取FA，并在各工厂中保持JS相对顺序</x:v>
      </x:c>
      <x:c r="C4" s="20" t="str">
        <x:v>第一阶段工厂内顺序直接来自JS</x:v>
      </x:c>
      <x:c r="E4" s="20" t="str">
        <x:v>FM3</x:v>
      </x:c>
      <x:c r="F4" s="63" t="b">
        <x:v>1</x:v>
      </x:c>
      <x:c r="G4" s="20" t="str">
        <x:v>是</x:v>
      </x:c>
      <x:c r="H4" s="20" t="str">
        <x:v>完整疲劳解码</x:v>
      </x:c>
    </x:row>
    <x:row r="5">
      <x:c r="A5" s="15" t="n">
        <x:v>2</x:v>
      </x:c>
      <x:c r="B5" s="20" t="str">
        <x:v>第一阶段MA/WA按工件身份从同一位置读取</x:v>
      </x:c>
      <x:c r="C5" s="20" t="str">
        <x:v>不得把位置号当工件号</x:v>
      </x:c>
      <x:c r="E5" s="20" t="str">
        <x:v>SEQUENCE_INDEPENDENT</x:v>
      </x:c>
      <x:c r="F5" s="63" t="b">
        <x:v>1</x:v>
      </x:c>
      <x:c r="G5" s="20" t="str">
        <x:v>是</x:v>
      </x:c>
      <x:c r="H5" s="20" t="str">
        <x:v>当前正式设置时间</x:v>
      </x:c>
    </x:row>
    <x:row r="6">
      <x:c r="A6" s="15" t="n">
        <x:v>3</x:v>
      </x:c>
      <x:c r="B6" s="20" t="str">
        <x:v>第二阶段按上一阶段完工时间升序；并列按前一阶段顺序，再按工件号</x:v>
      </x:c>
      <x:c r="C6" s="20" t="str">
        <x:v>ECT/FIFO/工件号稳定破平</x:v>
      </x:c>
      <x:c r="E6" s="20" t="str">
        <x:v>PF-SDST</x:v>
      </x:c>
      <x:c r="F6" s="63" t="b">
        <x:v>0</x:v>
      </x:c>
      <x:c r="G6" s="20" t="str">
        <x:v>否</x:v>
      </x:c>
      <x:c r="H6" s="20" t="str">
        <x:v>产品族序列相关设置时间尚未进入正式比较</x:v>
      </x:c>
    </x:row>
    <x:row r="7">
      <x:c r="A7" s="15" t="n">
        <x:v>4</x:v>
      </x:c>
      <x:c r="B7" s="20" t="str">
        <x:v>第二阶段第一个工件使用局部M1；后续工件选当前最早可用机器</x:v>
      </x:c>
      <x:c r="C7" s="20" t="str">
        <x:v>机器可用时间并列取较小机器号</x:v>
      </x:c>
      <x:c r="E7" s="20" t="str">
        <x:v>ShiftMode.NONE</x:v>
      </x:c>
      <x:c r="F7" s="63" t="b">
        <x:v>1</x:v>
      </x:c>
      <x:c r="G7" s="20" t="str">
        <x:v>是</x:v>
      </x:c>
      <x:c r="H7" s="20" t="str">
        <x:v>不执行FCLS/FCRS</x:v>
      </x:c>
    </x:row>
    <x:row r="8">
      <x:c r="A8" s="15" t="n">
        <x:v>5</x:v>
      </x:c>
      <x:c r="B8" s="20" t="str">
        <x:v>第二阶段枚举全部合法工人</x:v>
      </x:c>
      <x:c r="C8" s="20" t="str">
        <x:v>选疲劳修正结束时间最小者；并列取较小工厂内统一工人ID</x:v>
      </x:c>
      <x:c r="E8" s="20" t="str">
        <x:v>算法搜索</x:v>
      </x:c>
      <x:c r="F8" s="63" t="b">
        <x:v>1</x:v>
      </x:c>
      <x:c r="G8" s="20" t="str">
        <x:v>否</x:v>
      </x:c>
      <x:c r="H8" s="20" t="str">
        <x:v>Qg/Qp/CFVF/DSCR/CA-TA-Lite/PDDR不属于单粒子手算</x:v>
      </x:c>
    </x:row>
    <x:row r="9">
      <x:c r="A9" s="15" t="n">
        <x:v>6</x:v>
      </x:c>
      <x:c r="B9" s="20" t="str">
        <x:v>最早开始</x:v>
      </x:c>
      <x:c r="C9" s="20" t="str">
        <x:v>S=max(工件前序完工, 机器可用, 工人可用)</x:v>
      </x:c>
    </x:row>
    <x:row r="10">
      <x:c r="A10" s="15" t="n">
        <x:v>7</x:v>
      </x:c>
      <x:c r="B10" s="20" t="str">
        <x:v>自然恢复</x:v>
      </x:c>
      <x:c r="C10" s="20" t="str">
        <x:v>Fstart=Fbefore×exp(-mu上一任务阶段×恢复时长)</x:v>
      </x:c>
      <x:c r="E10" s="10" t="str">
        <x:v>源码文件</x:v>
      </x:c>
      <x:c r="F10" s="10" t="str">
        <x:v>SHA-256</x:v>
      </x:c>
      <x:c r="G10" s="10" t="str">
        <x:v>用途</x:v>
      </x:c>
      <x:c r="H10" s="10" t="str">
        <x:v>状态</x:v>
      </x:c>
    </x:row>
    <x:row r="11">
      <x:c r="A11" s="15" t="n">
        <x:v>8</x:v>
      </x:c>
      <x:c r="B11" s="20" t="str">
        <x:v>基础加工时间</x:v>
      </x:c>
      <x:c r="C11" s="20" t="str">
        <x:v>PT0=ST/(MS×WE)</x:v>
      </x:c>
      <x:c r="E11" s="20" t="str">
        <x:v>java-jmetal58/jmetal-problem/src/main/java/org/uma/jmetal/problem/multiobjective/dfsp/fatigue/ZhangBoFatigueEvaluator.java</x:v>
      </x:c>
      <x:c r="F11" s="20" t="str">
        <x:v>aaf8bc30b81a6193541c3a2cf18da457a1b68806bec39dc4ab8b904fa0625539</x:v>
      </x:c>
      <x:c r="G11" s="20" t="str">
        <x:v>当前语义来源</x:v>
      </x:c>
      <x:c r="H11" s="20" t="str">
        <x:v>冻结引用</x:v>
      </x:c>
    </x:row>
    <x:row r="12">
      <x:c r="A12" s="15" t="n">
        <x:v>9</x:v>
      </x:c>
      <x:c r="B12" s="20" t="str">
        <x:v>基础设置时间</x:v>
      </x:c>
      <x:c r="C12" s="20" t="str">
        <x:v>SET0=SUT/WE；SUT与前序工件无关</x:v>
      </x:c>
      <x:c r="E12" s="20" t="str">
        <x:v>java-jmetal58/jmetal-problem/src/main/java/org/uma/jmetal/problem/multiobjective/dfsp/fatigue/ZhangBoV35ProblemFactory.java</x:v>
      </x:c>
      <x:c r="F12" s="20" t="str">
        <x:v>81a45017a6db304a3c4c286f821c1811cd8f49a33bbf5d2ef0117772769fb7a0</x:v>
      </x:c>
      <x:c r="G12" s="20" t="str">
        <x:v>当前语义来源</x:v>
      </x:c>
      <x:c r="H12" s="20" t="str">
        <x:v>冻结引用</x:v>
      </x:c>
    </x:row>
    <x:row r="13">
      <x:c r="A13" s="15" t="n">
        <x:v>10</x:v>
      </x:c>
      <x:c r="B13" s="20" t="str">
        <x:v>疲劳倍率</x:v>
      </x:c>
      <x:c r="C13" s="20" t="str">
        <x:v>q=1+r/ln(2)×ln(1+Fstart)</x:v>
      </x:c>
      <x:c r="E13" s="20" t="str">
        <x:v>java-jmetal58/jmetal-problem/src/main/java/org/uma/jmetal/problem/multiobjective/dfsp/setup/ProductFamilySetupModel.java</x:v>
      </x:c>
      <x:c r="F13" s="20" t="str">
        <x:v>a62f81a86e6188fbba3fdf44cd00ec637d1a2924c2c4e5da2aff6c35e804b65b</x:v>
      </x:c>
      <x:c r="G13" s="20" t="str">
        <x:v>当前语义来源</x:v>
      </x:c>
      <x:c r="H13" s="20" t="str">
        <x:v>冻结引用</x:v>
      </x:c>
    </x:row>
    <x:row r="14">
      <x:c r="A14" s="15" t="n">
        <x:v>11</x:v>
      </x:c>
      <x:c r="B14" s="20" t="str">
        <x:v>实际占用时间</x:v>
      </x:c>
      <x:c r="C14" s="20" t="str">
        <x:v>PT=q×PT0；SET=q×SET0；AT=PT+SET</x:v>
      </x:c>
      <x:c r="E14" s="20" t="str">
        <x:v>java-jmetal58/jmetal-algorithm/src/main/java/org/uma/jmetal/algorithm/multiobjective/mypso/v35/V35ProductionConfiguration.java</x:v>
      </x:c>
      <x:c r="F14" s="20" t="str">
        <x:v>a490f6bfc5c4d8e56b6f030d361165aceab93d23bea0a51832c773ccf03a4fab</x:v>
      </x:c>
      <x:c r="G14" s="20" t="str">
        <x:v>当前语义来源</x:v>
      </x:c>
      <x:c r="H14" s="20" t="str">
        <x:v>冻结引用</x:v>
      </x:c>
    </x:row>
    <x:row r="15">
      <x:c r="A15" s="15" t="n">
        <x:v>12</x:v>
      </x:c>
      <x:c r="B15" s="20" t="str">
        <x:v>疲劳累积</x:v>
      </x:c>
      <x:c r="C15" s="20" t="str">
        <x:v>Fend=Fstart+(1-Fstart)×(1-exp(-lambda×AT))</x:v>
      </x:c>
    </x:row>
    <x:row r="16">
      <x:c r="A16" s="15" t="n">
        <x:v>13</x:v>
      </x:c>
      <x:c r="B16" s="20" t="str">
        <x:v>能耗</x:v>
      </x:c>
      <x:c r="C16" s="20" t="str">
        <x:v>Energy=AT×机器功率+机器空闲时间×1</x:v>
      </x:c>
    </x:row>
    <x:row r="17">
      <x:c r="A17" s="15" t="n">
        <x:v>14</x:v>
      </x:c>
      <x:c r="B17" s="20" t="str">
        <x:v>成本</x:v>
      </x:c>
      <x:c r="C17" s="20" t="str">
        <x:v>Cost=(AT+机器空闲时间)×工人成本率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24" hidden="0" customWidth="1"/>
    <x:col min="6" max="6" width="16" hidden="0" customWidth="1"/>
  </x:cols>
  <x:sheetData>
    <x:row r="1" ht="30" customHeight="1">
      <x:c r="A1" s="4" t="str">
        <x:v>冻结输入：工件—阶段加工时间与序列无关设置时间</x:v>
      </x:c>
      <x:c r="B1" s="4" t="str">
        <x:v>冻结输入：工件—阶段加工时间与序列无关设置时间</x:v>
      </x:c>
      <x:c r="C1" s="4" t="str">
        <x:v>冻结输入：工件—阶段加工时间与序列无关设置时间</x:v>
      </x:c>
      <x:c r="D1" s="4" t="str">
        <x:v>冻结输入：工件—阶段加工时间与序列无关设置时间</x:v>
      </x:c>
      <x:c r="E1" s="4" t="str">
        <x:v>冻结输入：工件—阶段加工时间与序列无关设置时间</x:v>
      </x:c>
      <x:c r="F1" s="4" t="str">
        <x:v>冻结输入：工件—阶段加工时间与序列无关设置时间</x:v>
      </x:c>
    </x:row>
    <x:row r="3">
      <x:c r="A3" s="10" t="str">
        <x:v>工件</x:v>
      </x:c>
      <x:c r="B3" s="10" t="str">
        <x:v>阶段</x:v>
      </x:c>
      <x:c r="C3" s="10" t="str">
        <x:v>ST</x:v>
      </x:c>
      <x:c r="D3" s="10" t="str">
        <x:v>SUT</x:v>
      </x:c>
      <x:c r="E3" s="10" t="str">
        <x:v>是否读取前序工件</x:v>
      </x:c>
      <x:c r="F3" s="10" t="str">
        <x:v>工序ID</x:v>
      </x:c>
    </x:row>
    <x:row r="4">
      <x:c r="A4" s="15" t="n">
        <x:v>1</x:v>
      </x:c>
      <x:c r="B4" s="15" t="n">
        <x:v>1</x:v>
      </x:c>
      <x:c r="C4" s="78" t="n">
        <x:v>10</x:v>
      </x:c>
      <x:c r="D4" s="78" t="n">
        <x:v>2</x:v>
      </x:c>
      <x:c r="E4" s="68" t="b">
        <x:v>0</x:v>
      </x:c>
      <x:c r="F4" s="15" t="str">
        <x:v>J1-S1</x:v>
      </x:c>
    </x:row>
    <x:row r="5">
      <x:c r="A5" s="15" t="n">
        <x:v>1</x:v>
      </x:c>
      <x:c r="B5" s="15" t="n">
        <x:v>2</x:v>
      </x:c>
      <x:c r="C5" s="78" t="n">
        <x:v>6</x:v>
      </x:c>
      <x:c r="D5" s="78" t="n">
        <x:v>1</x:v>
      </x:c>
      <x:c r="E5" s="68" t="b">
        <x:v>0</x:v>
      </x:c>
      <x:c r="F5" s="15" t="str">
        <x:v>J1-S2</x:v>
      </x:c>
    </x:row>
    <x:row r="6">
      <x:c r="A6" s="15" t="n">
        <x:v>2</x:v>
      </x:c>
      <x:c r="B6" s="15" t="n">
        <x:v>1</x:v>
      </x:c>
      <x:c r="C6" s="78" t="n">
        <x:v>6</x:v>
      </x:c>
      <x:c r="D6" s="78" t="n">
        <x:v>1</x:v>
      </x:c>
      <x:c r="E6" s="68" t="b">
        <x:v>0</x:v>
      </x:c>
      <x:c r="F6" s="15" t="str">
        <x:v>J2-S1</x:v>
      </x:c>
    </x:row>
    <x:row r="7">
      <x:c r="A7" s="15" t="n">
        <x:v>2</x:v>
      </x:c>
      <x:c r="B7" s="15" t="n">
        <x:v>2</x:v>
      </x:c>
      <x:c r="C7" s="78" t="n">
        <x:v>8</x:v>
      </x:c>
      <x:c r="D7" s="78" t="n">
        <x:v>2</x:v>
      </x:c>
      <x:c r="E7" s="68" t="b">
        <x:v>0</x:v>
      </x:c>
      <x:c r="F7" s="15" t="str">
        <x:v>J2-S2</x:v>
      </x:c>
    </x:row>
    <x:row r="8">
      <x:c r="A8" s="15" t="n">
        <x:v>3</x:v>
      </x:c>
      <x:c r="B8" s="15" t="n">
        <x:v>1</x:v>
      </x:c>
      <x:c r="C8" s="78" t="n">
        <x:v>8</x:v>
      </x:c>
      <x:c r="D8" s="78" t="n">
        <x:v>2</x:v>
      </x:c>
      <x:c r="E8" s="68" t="b">
        <x:v>0</x:v>
      </x:c>
      <x:c r="F8" s="15" t="str">
        <x:v>J3-S1</x:v>
      </x:c>
    </x:row>
    <x:row r="9">
      <x:c r="A9" s="15" t="n">
        <x:v>3</x:v>
      </x:c>
      <x:c r="B9" s="15" t="n">
        <x:v>2</x:v>
      </x:c>
      <x:c r="C9" s="78" t="n">
        <x:v>5</x:v>
      </x:c>
      <x:c r="D9" s="78" t="n">
        <x:v>1</x:v>
      </x:c>
      <x:c r="E9" s="68" t="b">
        <x:v>0</x:v>
      </x:c>
      <x:c r="F9" s="15" t="str">
        <x:v>J3-S2</x:v>
      </x:c>
    </x:row>
    <x:row r="10">
      <x:c r="A10" s="15" t="n">
        <x:v>4</x:v>
      </x:c>
      <x:c r="B10" s="15" t="n">
        <x:v>1</x:v>
      </x:c>
      <x:c r="C10" s="78" t="n">
        <x:v>7</x:v>
      </x:c>
      <x:c r="D10" s="78" t="n">
        <x:v>1</x:v>
      </x:c>
      <x:c r="E10" s="68" t="b">
        <x:v>0</x:v>
      </x:c>
      <x:c r="F10" s="15" t="str">
        <x:v>J4-S1</x:v>
      </x:c>
    </x:row>
    <x:row r="11">
      <x:c r="A11" s="15" t="n">
        <x:v>4</x:v>
      </x:c>
      <x:c r="B11" s="15" t="n">
        <x:v>2</x:v>
      </x:c>
      <x:c r="C11" s="78" t="n">
        <x:v>9</x:v>
      </x:c>
      <x:c r="D11" s="78" t="n">
        <x:v>2</x:v>
      </x:c>
      <x:c r="E11" s="68" t="b">
        <x:v>0</x:v>
      </x:c>
      <x:c r="F11" s="15" t="str">
        <x:v>J4-S2</x:v>
      </x:c>
    </x:row>
    <x:row r="12">
      <x:c r="A12" s="15" t="n">
        <x:v>5</x:v>
      </x:c>
      <x:c r="B12" s="15" t="n">
        <x:v>1</x:v>
      </x:c>
      <x:c r="C12" s="78" t="n">
        <x:v>5</x:v>
      </x:c>
      <x:c r="D12" s="78" t="n">
        <x:v>1</x:v>
      </x:c>
      <x:c r="E12" s="68" t="b">
        <x:v>0</x:v>
      </x:c>
      <x:c r="F12" s="15" t="str">
        <x:v>J5-S1</x:v>
      </x:c>
    </x:row>
    <x:row r="13">
      <x:c r="A13" s="15" t="n">
        <x:v>5</x:v>
      </x:c>
      <x:c r="B13" s="15" t="n">
        <x:v>2</x:v>
      </x:c>
      <x:c r="C13" s="78" t="n">
        <x:v>7</x:v>
      </x:c>
      <x:c r="D13" s="78" t="n">
        <x:v>1</x:v>
      </x:c>
      <x:c r="E13" s="68" t="b">
        <x:v>0</x:v>
      </x:c>
      <x:c r="F13" s="15" t="str">
        <x:v>J5-S2</x:v>
      </x:c>
    </x:row>
    <x:row r="16">
      <x:c r="A16" s="69" t="str">
        <x:v>当前设置时间是序列无关设计：J3-S2的标准SUT始终取输入表中的J3-S2数值，不因它前面是J1、J2或其他工件而改变。顺序只会通过工人疲劳间接改变实际SET。</x:v>
      </x:c>
      <x:c r="B16" s="70"/>
      <x:c r="C16" s="70"/>
      <x:c r="D16" s="70"/>
      <x:c r="E16" s="70"/>
      <x:c r="F16" s="71"/>
    </x:row>
    <x:row r="17">
      <x:c r="A17" s="72"/>
      <x:c r="B17" s="73"/>
      <x:c r="C17" s="73"/>
      <x:c r="D17" s="73"/>
      <x:c r="E17" s="73"/>
      <x:c r="F17" s="74"/>
    </x:row>
    <x:row r="18">
      <x:c r="A18" s="75"/>
      <x:c r="B18" s="76"/>
      <x:c r="C18" s="76"/>
      <x:c r="D18" s="76"/>
      <x:c r="E18" s="76"/>
      <x:c r="F18" s="77"/>
    </x:row>
  </x:sheetData>
  <x:mergeCells>
    <x:mergeCell ref="A1:F1"/>
    <x:mergeCell ref="A16:F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14" hidden="0" customWidth="1"/>
    <x:col min="6" max="6" width="24" hidden="0" customWidth="1"/>
  </x:cols>
  <x:sheetData>
    <x:row r="1" ht="30" customHeight="1">
      <x:c r="A1" s="4" t="str">
        <x:v>冻结输入：机器速度与功率</x:v>
      </x:c>
      <x:c r="B1" s="4" t="str">
        <x:v>冻结输入：机器速度与功率</x:v>
      </x:c>
      <x:c r="C1" s="4" t="str">
        <x:v>冻结输入：机器速度与功率</x:v>
      </x:c>
      <x:c r="D1" s="4" t="str">
        <x:v>冻结输入：机器速度与功率</x:v>
      </x:c>
      <x:c r="E1" s="4" t="str">
        <x:v>冻结输入：机器速度与功率</x:v>
      </x:c>
      <x:c r="F1" s="4" t="str">
        <x:v>冻结输入：机器速度与功率</x:v>
      </x:c>
    </x:row>
    <x:row r="3">
      <x:c r="A3" s="10" t="str">
        <x:v>工厂</x:v>
      </x:c>
      <x:c r="B3" s="10" t="str">
        <x:v>阶段</x:v>
      </x:c>
      <x:c r="C3" s="10" t="str">
        <x:v>局部机器</x:v>
      </x:c>
      <x:c r="D3" s="10" t="str">
        <x:v>速度MS</x:v>
      </x:c>
      <x:c r="E3" s="10" t="str">
        <x:v>功率</x:v>
      </x:c>
      <x:c r="F3" s="10" t="str">
        <x:v>完整机器ID</x:v>
      </x:c>
    </x:row>
    <x:row r="4">
      <x:c r="A4" s="15" t="n">
        <x:v>1</x:v>
      </x:c>
      <x:c r="B4" s="15" t="n">
        <x:v>1</x:v>
      </x:c>
      <x:c r="C4" s="15" t="n">
        <x:v>1</x:v>
      </x:c>
      <x:c r="D4" s="78" t="n">
        <x:v>1</x:v>
      </x:c>
      <x:c r="E4" s="78" t="n">
        <x:v>6</x:v>
      </x:c>
      <x:c r="F4" s="15" t="str">
        <x:v>F1-S1-M1</x:v>
      </x:c>
    </x:row>
    <x:row r="5">
      <x:c r="A5" s="15" t="n">
        <x:v>1</x:v>
      </x:c>
      <x:c r="B5" s="15" t="n">
        <x:v>1</x:v>
      </x:c>
      <x:c r="C5" s="15" t="n">
        <x:v>2</x:v>
      </x:c>
      <x:c r="D5" s="78" t="n">
        <x:v>1.25</x:v>
      </x:c>
      <x:c r="E5" s="78" t="n">
        <x:v>8</x:v>
      </x:c>
      <x:c r="F5" s="15" t="str">
        <x:v>F1-S1-M2</x:v>
      </x:c>
    </x:row>
    <x:row r="6">
      <x:c r="A6" s="15" t="n">
        <x:v>1</x:v>
      </x:c>
      <x:c r="B6" s="15" t="n">
        <x:v>2</x:v>
      </x:c>
      <x:c r="C6" s="15" t="n">
        <x:v>1</x:v>
      </x:c>
      <x:c r="D6" s="78" t="n">
        <x:v>1</x:v>
      </x:c>
      <x:c r="E6" s="78" t="n">
        <x:v>7</x:v>
      </x:c>
      <x:c r="F6" s="15" t="str">
        <x:v>F1-S2-M1</x:v>
      </x:c>
    </x:row>
    <x:row r="7">
      <x:c r="A7" s="15" t="n">
        <x:v>1</x:v>
      </x:c>
      <x:c r="B7" s="15" t="n">
        <x:v>2</x:v>
      </x:c>
      <x:c r="C7" s="15" t="n">
        <x:v>2</x:v>
      </x:c>
      <x:c r="D7" s="78" t="n">
        <x:v>1.25</x:v>
      </x:c>
      <x:c r="E7" s="78" t="n">
        <x:v>9</x:v>
      </x:c>
      <x:c r="F7" s="15" t="str">
        <x:v>F1-S2-M2</x:v>
      </x:c>
    </x:row>
    <x:row r="8">
      <x:c r="A8" s="15" t="n">
        <x:v>2</x:v>
      </x:c>
      <x:c r="B8" s="15" t="n">
        <x:v>1</x:v>
      </x:c>
      <x:c r="C8" s="15" t="n">
        <x:v>1</x:v>
      </x:c>
      <x:c r="D8" s="78" t="n">
        <x:v>1</x:v>
      </x:c>
      <x:c r="E8" s="78" t="n">
        <x:v>6</x:v>
      </x:c>
      <x:c r="F8" s="15" t="str">
        <x:v>F2-S1-M1</x:v>
      </x:c>
    </x:row>
    <x:row r="9">
      <x:c r="A9" s="15" t="n">
        <x:v>2</x:v>
      </x:c>
      <x:c r="B9" s="15" t="n">
        <x:v>1</x:v>
      </x:c>
      <x:c r="C9" s="15" t="n">
        <x:v>2</x:v>
      </x:c>
      <x:c r="D9" s="78" t="n">
        <x:v>1.2</x:v>
      </x:c>
      <x:c r="E9" s="78" t="n">
        <x:v>7</x:v>
      </x:c>
      <x:c r="F9" s="15" t="str">
        <x:v>F2-S1-M2</x:v>
      </x:c>
    </x:row>
    <x:row r="10">
      <x:c r="A10" s="15" t="n">
        <x:v>2</x:v>
      </x:c>
      <x:c r="B10" s="15" t="n">
        <x:v>2</x:v>
      </x:c>
      <x:c r="C10" s="15" t="n">
        <x:v>1</x:v>
      </x:c>
      <x:c r="D10" s="78" t="n">
        <x:v>1.1</x:v>
      </x:c>
      <x:c r="E10" s="78" t="n">
        <x:v>7</x:v>
      </x:c>
      <x:c r="F10" s="15" t="str">
        <x:v>F2-S2-M1</x:v>
      </x:c>
    </x:row>
    <x:row r="11">
      <x:c r="A11" s="15" t="n">
        <x:v>2</x:v>
      </x:c>
      <x:c r="B11" s="15" t="n">
        <x:v>2</x:v>
      </x:c>
      <x:c r="C11" s="15" t="n">
        <x:v>2</x:v>
      </x:c>
      <x:c r="D11" s="78" t="n">
        <x:v>1.25</x:v>
      </x:c>
      <x:c r="E11" s="78" t="n">
        <x:v>8</x:v>
      </x:c>
      <x:c r="F11" s="15" t="str">
        <x:v>F2-S2-M2</x:v>
      </x:c>
    </x:row>
    <x:row r="14">
      <x:c r="A14" s="20" t="str">
        <x:v>机器编号只在“工厂+阶段”内局部有效。F1-S1-M1与F1-S2-M1是两台不同的阶段机器。</x:v>
      </x:c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</x:sheetData>
  <x:mergeCells>
    <x:mergeCell ref="A1:F1"/>
    <x:mergeCell ref="A14:F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20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冻结输入：工人效率、成本与疲劳参数</x:v>
      </x:c>
      <x:c r="B1" s="4" t="str">
        <x:v>冻结输入：工人效率、成本与疲劳参数</x:v>
      </x:c>
      <x:c r="C1" s="4" t="str">
        <x:v>冻结输入：工人效率、成本与疲劳参数</x:v>
      </x:c>
      <x:c r="D1" s="4" t="str">
        <x:v>冻结输入：工人效率、成本与疲劳参数</x:v>
      </x:c>
      <x:c r="E1" s="4" t="str">
        <x:v>冻结输入：工人效率、成本与疲劳参数</x:v>
      </x:c>
      <x:c r="F1" s="4" t="str">
        <x:v>冻结输入：工人效率、成本与疲劳参数</x:v>
      </x:c>
      <x:c r="G1" s="4" t="str">
        <x:v>冻结输入：工人效率、成本与疲劳参数</x:v>
      </x:c>
      <x:c r="H1" s="4" t="str">
        <x:v>冻结输入：工人效率、成本与疲劳参数</x:v>
      </x:c>
      <x:c r="I1" s="4" t="str">
        <x:v>冻结输入：工人效率、成本与疲劳参数</x:v>
      </x:c>
    </x:row>
    <x:row r="3">
      <x:c r="A3" s="10" t="str">
        <x:v>工厂</x:v>
      </x:c>
      <x:c r="B3" s="10" t="str">
        <x:v>合法阶段</x:v>
      </x:c>
      <x:c r="C3" s="10" t="str">
        <x:v>阶段内局部工人</x:v>
      </x:c>
      <x:c r="D3" s="10" t="str">
        <x:v>工厂内统一工人ID</x:v>
      </x:c>
      <x:c r="E3" s="10" t="str">
        <x:v>完整工人ID</x:v>
      </x:c>
      <x:c r="F3" s="10" t="str">
        <x:v>效率WE</x:v>
      </x:c>
      <x:c r="G3" s="10" t="str">
        <x:v>成本率</x:v>
      </x:c>
      <x:c r="H3" s="10" t="str">
        <x:v>lambda</x:v>
      </x:c>
      <x:c r="I3" s="10" t="str">
        <x:v>mu</x:v>
      </x:c>
    </x:row>
    <x:row r="4">
      <x:c r="A4" s="15" t="n">
        <x:v>1</x:v>
      </x:c>
      <x:c r="B4" s="15" t="n">
        <x:v>1</x:v>
      </x:c>
      <x:c r="C4" s="15" t="n">
        <x:v>1</x:v>
      </x:c>
      <x:c r="D4" s="15" t="n">
        <x:v>1</x:v>
      </x:c>
      <x:c r="E4" s="15" t="str">
        <x:v>F1-W1</x:v>
      </x:c>
      <x:c r="F4" s="78" t="n">
        <x:v>1</x:v>
      </x:c>
      <x:c r="G4" s="78" t="n">
        <x:v>10</x:v>
      </x:c>
      <x:c r="H4" s="78" t="n">
        <x:v>0.02</x:v>
      </x:c>
      <x:c r="I4" s="78" t="n">
        <x:v>0.05</x:v>
      </x:c>
    </x:row>
    <x:row r="5">
      <x:c r="A5" s="15" t="n">
        <x:v>1</x:v>
      </x:c>
      <x:c r="B5" s="15" t="n">
        <x:v>1</x:v>
      </x:c>
      <x:c r="C5" s="15" t="n">
        <x:v>2</x:v>
      </x:c>
      <x:c r="D5" s="15" t="n">
        <x:v>2</x:v>
      </x:c>
      <x:c r="E5" s="15" t="str">
        <x:v>F1-W2</x:v>
      </x:c>
      <x:c r="F5" s="78" t="n">
        <x:v>1</x:v>
      </x:c>
      <x:c r="G5" s="78" t="n">
        <x:v>11</x:v>
      </x:c>
      <x:c r="H5" s="78" t="n">
        <x:v>0.025</x:v>
      </x:c>
      <x:c r="I5" s="78" t="n">
        <x:v>0.04</x:v>
      </x:c>
    </x:row>
    <x:row r="6">
      <x:c r="A6" s="15" t="n">
        <x:v>1</x:v>
      </x:c>
      <x:c r="B6" s="15" t="n">
        <x:v>2</x:v>
      </x:c>
      <x:c r="C6" s="15" t="n">
        <x:v>1</x:v>
      </x:c>
      <x:c r="D6" s="15" t="n">
        <x:v>3</x:v>
      </x:c>
      <x:c r="E6" s="15" t="str">
        <x:v>F1-W3</x:v>
      </x:c>
      <x:c r="F6" s="78" t="n">
        <x:v>1</x:v>
      </x:c>
      <x:c r="G6" s="78" t="n">
        <x:v>10</x:v>
      </x:c>
      <x:c r="H6" s="78" t="n">
        <x:v>0.018</x:v>
      </x:c>
      <x:c r="I6" s="78" t="n">
        <x:v>0.06</x:v>
      </x:c>
    </x:row>
    <x:row r="7">
      <x:c r="A7" s="15" t="n">
        <x:v>1</x:v>
      </x:c>
      <x:c r="B7" s="15" t="n">
        <x:v>2</x:v>
      </x:c>
      <x:c r="C7" s="15" t="n">
        <x:v>2</x:v>
      </x:c>
      <x:c r="D7" s="15" t="n">
        <x:v>4</x:v>
      </x:c>
      <x:c r="E7" s="15" t="str">
        <x:v>F1-W4</x:v>
      </x:c>
      <x:c r="F7" s="78" t="n">
        <x:v>1.2</x:v>
      </x:c>
      <x:c r="G7" s="78" t="n">
        <x:v>12</x:v>
      </x:c>
      <x:c r="H7" s="78" t="n">
        <x:v>0.022</x:v>
      </x:c>
      <x:c r="I7" s="78" t="n">
        <x:v>0.05</x:v>
      </x:c>
    </x:row>
    <x:row r="8">
      <x:c r="A8" s="15" t="n">
        <x:v>2</x:v>
      </x:c>
      <x:c r="B8" s="15" t="n">
        <x:v>1</x:v>
      </x:c>
      <x:c r="C8" s="15" t="n">
        <x:v>1</x:v>
      </x:c>
      <x:c r="D8" s="15" t="n">
        <x:v>1</x:v>
      </x:c>
      <x:c r="E8" s="15" t="str">
        <x:v>F2-W1</x:v>
      </x:c>
      <x:c r="F8" s="78" t="n">
        <x:v>1</x:v>
      </x:c>
      <x:c r="G8" s="78" t="n">
        <x:v>10</x:v>
      </x:c>
      <x:c r="H8" s="78" t="n">
        <x:v>0.021</x:v>
      </x:c>
      <x:c r="I8" s="78" t="n">
        <x:v>0.05</x:v>
      </x:c>
    </x:row>
    <x:row r="9">
      <x:c r="A9" s="15" t="n">
        <x:v>2</x:v>
      </x:c>
      <x:c r="B9" s="15" t="n">
        <x:v>1</x:v>
      </x:c>
      <x:c r="C9" s="15" t="n">
        <x:v>2</x:v>
      </x:c>
      <x:c r="D9" s="15" t="n">
        <x:v>2</x:v>
      </x:c>
      <x:c r="E9" s="15" t="str">
        <x:v>F2-W2</x:v>
      </x:c>
      <x:c r="F9" s="78" t="n">
        <x:v>1.1</x:v>
      </x:c>
      <x:c r="G9" s="78" t="n">
        <x:v>11</x:v>
      </x:c>
      <x:c r="H9" s="78" t="n">
        <x:v>0.026</x:v>
      </x:c>
      <x:c r="I9" s="78" t="n">
        <x:v>0.04</x:v>
      </x:c>
    </x:row>
    <x:row r="10">
      <x:c r="A10" s="15" t="n">
        <x:v>2</x:v>
      </x:c>
      <x:c r="B10" s="15" t="n">
        <x:v>2</x:v>
      </x:c>
      <x:c r="C10" s="15" t="n">
        <x:v>1</x:v>
      </x:c>
      <x:c r="D10" s="15" t="n">
        <x:v>3</x:v>
      </x:c>
      <x:c r="E10" s="15" t="str">
        <x:v>F2-W3</x:v>
      </x:c>
      <x:c r="F10" s="78" t="n">
        <x:v>1</x:v>
      </x:c>
      <x:c r="G10" s="78" t="n">
        <x:v>10</x:v>
      </x:c>
      <x:c r="H10" s="78" t="n">
        <x:v>0.019</x:v>
      </x:c>
      <x:c r="I10" s="78" t="n">
        <x:v>0.06</x:v>
      </x:c>
    </x:row>
    <x:row r="11">
      <x:c r="A11" s="15" t="n">
        <x:v>2</x:v>
      </x:c>
      <x:c r="B11" s="15" t="n">
        <x:v>2</x:v>
      </x:c>
      <x:c r="C11" s="15" t="n">
        <x:v>2</x:v>
      </x:c>
      <x:c r="D11" s="15" t="n">
        <x:v>4</x:v>
      </x:c>
      <x:c r="E11" s="15" t="str">
        <x:v>F2-W4</x:v>
      </x:c>
      <x:c r="F11" s="78" t="n">
        <x:v>1.15</x:v>
      </x:c>
      <x:c r="G11" s="78" t="n">
        <x:v>12</x:v>
      </x:c>
      <x:c r="H11" s="78" t="n">
        <x:v>0.023</x:v>
      </x:c>
      <x:c r="I11" s="78" t="n">
        <x:v>0.05</x:v>
      </x:c>
    </x:row>
    <x:row r="14">
      <x:c r="A14" s="20" t="str">
        <x:v>手算时用完整身份“工厂+工厂内统一工人ID”。例如F1-W1与F2-W1不是同一个人。第一阶段WA使用阶段内局部编号1/2，对应工厂内ID 1/2；第二阶段合法工人为工厂内ID 3/4。</x:v>
      </x:c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</x:sheetData>
  <x:mergeCells>
    <x:mergeCell ref="A1:I1"/>
    <x:mergeCell ref="A14:I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25" hidden="0" customWidth="1"/>
    <x:col min="5" max="5" width="25" hidden="0" customWidth="1"/>
    <x:col min="6" max="6" width="22" hidden="0" customWidth="1"/>
    <x:col min="7" max="7" width="34" hidden="0" customWidth="1"/>
    <x:col min="8" max="8" width="15" hidden="0" customWidth="1"/>
  </x:cols>
  <x:sheetData>
    <x:row r="1" ht="30" customHeight="1">
      <x:c r="A1" s="4" t="str">
        <x:v>四向量位置对齐与第一阶段资源映射（1基论文编号）</x:v>
      </x:c>
      <x:c r="B1" s="4" t="str">
        <x:v>四向量位置对齐与第一阶段资源映射（1基论文编号）</x:v>
      </x:c>
      <x:c r="C1" s="4" t="str">
        <x:v>四向量位置对齐与第一阶段资源映射（1基论文编号）</x:v>
      </x:c>
      <x:c r="D1" s="4" t="str">
        <x:v>四向量位置对齐与第一阶段资源映射（1基论文编号）</x:v>
      </x:c>
      <x:c r="E1" s="4" t="str">
        <x:v>四向量位置对齐与第一阶段资源映射（1基论文编号）</x:v>
      </x:c>
      <x:c r="F1" s="4" t="str">
        <x:v>四向量位置对齐与第一阶段资源映射（1基论文编号）</x:v>
      </x:c>
      <x:c r="G1" s="4" t="str">
        <x:v>四向量位置对齐与第一阶段资源映射（1基论文编号）</x:v>
      </x:c>
      <x:c r="H1" s="4" t="str">
        <x:v>四向量位置对齐与第一阶段资源映射（1基论文编号）</x:v>
      </x:c>
    </x:row>
    <x:row r="3">
      <x:c r="A3" s="10" t="str">
        <x:v>位置p</x:v>
      </x:c>
      <x:c r="B3" s="10" t="str">
        <x:v>JS[p]工件</x:v>
      </x:c>
      <x:c r="C3" s="10" t="str">
        <x:v>FA[p]工厂</x:v>
      </x:c>
      <x:c r="D3" s="10" t="str">
        <x:v>MA[p]第一阶段局部机器</x:v>
      </x:c>
      <x:c r="E3" s="10" t="str">
        <x:v>WA[p]第一阶段局部工人</x:v>
      </x:c>
      <x:c r="F3" s="10" t="str">
        <x:v>工厂内统一工人ID</x:v>
      </x:c>
      <x:c r="G3" s="10" t="str">
        <x:v>第一阶段完整映射</x:v>
      </x:c>
      <x:c r="H3" s="10" t="str">
        <x:v>状态</x:v>
      </x:c>
    </x:row>
    <x:row r="4">
      <x:c r="A4" s="15" t="n">
        <x:v>1</x:v>
      </x:c>
      <x:c r="B4" s="15" t="n">
        <x:v>3</x:v>
      </x:c>
      <x:c r="C4" s="15" t="n">
        <x:v>1</x:v>
      </x:c>
      <x:c r="D4" s="15" t="n">
        <x:v>1</x:v>
      </x:c>
      <x:c r="E4" s="15" t="n">
        <x:v>1</x:v>
      </x:c>
      <x:c r="F4" s="15" t="n">
        <x:v>1</x:v>
      </x:c>
      <x:c r="G4" s="15" t="str">
        <x:v>J3→F1-S1-M1-W1</x:v>
      </x:c>
      <x:c r="H4" s="15" t="str">
        <x:v>冻结输入</x:v>
      </x:c>
    </x:row>
    <x:row r="5">
      <x:c r="A5" s="15" t="n">
        <x:v>2</x:v>
      </x:c>
      <x:c r="B5" s="15" t="n">
        <x:v>1</x:v>
      </x:c>
      <x:c r="C5" s="15" t="n">
        <x:v>2</x:v>
      </x:c>
      <x:c r="D5" s="15" t="n">
        <x:v>1</x:v>
      </x:c>
      <x:c r="E5" s="15" t="n">
        <x:v>1</x:v>
      </x:c>
      <x:c r="F5" s="15" t="n">
        <x:v>1</x:v>
      </x:c>
      <x:c r="G5" s="15" t="str">
        <x:v>J1→F2-S1-M1-W1</x:v>
      </x:c>
      <x:c r="H5" s="15" t="str">
        <x:v>冻结输入</x:v>
      </x:c>
    </x:row>
    <x:row r="6">
      <x:c r="A6" s="15" t="n">
        <x:v>3</x:v>
      </x:c>
      <x:c r="B6" s="15" t="n">
        <x:v>2</x:v>
      </x:c>
      <x:c r="C6" s="15" t="n">
        <x:v>2</x:v>
      </x:c>
      <x:c r="D6" s="15" t="n">
        <x:v>1</x:v>
      </x:c>
      <x:c r="E6" s="15" t="n">
        <x:v>1</x:v>
      </x:c>
      <x:c r="F6" s="15" t="n">
        <x:v>1</x:v>
      </x:c>
      <x:c r="G6" s="15" t="str">
        <x:v>J2→F2-S1-M1-W1</x:v>
      </x:c>
      <x:c r="H6" s="15" t="str">
        <x:v>冻结输入</x:v>
      </x:c>
    </x:row>
    <x:row r="7">
      <x:c r="A7" s="15" t="n">
        <x:v>4</x:v>
      </x:c>
      <x:c r="B7" s="15" t="n">
        <x:v>4</x:v>
      </x:c>
      <x:c r="C7" s="15" t="n">
        <x:v>1</x:v>
      </x:c>
      <x:c r="D7" s="15" t="n">
        <x:v>1</x:v>
      </x:c>
      <x:c r="E7" s="15" t="n">
        <x:v>2</x:v>
      </x:c>
      <x:c r="F7" s="15" t="n">
        <x:v>2</x:v>
      </x:c>
      <x:c r="G7" s="15" t="str">
        <x:v>J4→F1-S1-M1-W2</x:v>
      </x:c>
      <x:c r="H7" s="15" t="str">
        <x:v>冻结输入</x:v>
      </x:c>
    </x:row>
    <x:row r="8">
      <x:c r="A8" s="15" t="n">
        <x:v>5</x:v>
      </x:c>
      <x:c r="B8" s="15" t="n">
        <x:v>5</x:v>
      </x:c>
      <x:c r="C8" s="15" t="n">
        <x:v>1</x:v>
      </x:c>
      <x:c r="D8" s="15" t="n">
        <x:v>2</x:v>
      </x:c>
      <x:c r="E8" s="15" t="n">
        <x:v>2</x:v>
      </x:c>
      <x:c r="F8" s="15" t="n">
        <x:v>2</x:v>
      </x:c>
      <x:c r="G8" s="15" t="str">
        <x:v>J5→F1-S1-M2-W2</x:v>
      </x:c>
      <x:c r="H8" s="15" t="str">
        <x:v>冻结输入</x:v>
      </x:c>
    </x:row>
    <x:row r="11">
      <x:c r="A11" s="10" t="str">
        <x:v>工厂</x:v>
      </x:c>
      <x:c r="B11" s="10" t="str">
        <x:v>第一阶段JS相对顺序</x:v>
      </x:c>
      <x:c r="C11" s="10" t="str">
        <x:v>本人确认</x:v>
      </x:c>
    </x:row>
    <x:row r="12">
      <x:c r="A12" s="20" t="str">
        <x:v>F1</x:v>
      </x:c>
      <x:c r="B12" s="20" t="str">
        <x:v>J3 → J4 → J5</x:v>
      </x:c>
      <x:c r="C12" s="85"/>
    </x:row>
    <x:row r="13">
      <x:c r="A13" s="20" t="str">
        <x:v>F2</x:v>
      </x:c>
      <x:c r="B13" s="20" t="str">
        <x:v>J1 → J2</x:v>
      </x:c>
      <x:c r="C13" s="85"/>
    </x:row>
    <x:row r="14">
      <x:c r="A14" s="20" t="str">
        <x:v>注意</x:v>
      </x:c>
      <x:c r="B14" s="20" t="str">
        <x:v>第二阶段顺序不能直接照抄JS，必须等第一阶段结束时间算完后重新排序</x:v>
      </x:c>
      <x:c r="C14" s="85"/>
    </x:row>
    <x:row r="15">
      <x:c r="A15" s="20" t="str">
        <x:v>位置≠工件号</x:v>
      </x:c>
      <x:c r="B15" s="20" t="str">
        <x:v>读取J4的FA/MA/WA时先找JS中J4所在位置p=4</x:v>
      </x:c>
      <x:c r="C15" s="85"/>
    </x:row>
    <x:row r="16">
      <x:c r="A16" s="20" t="str">
        <x:v>Shift</x:v>
      </x:c>
      <x:c r="B16" s="20" t="str">
        <x:v>NONE：粒子解码结束后不再左移或右移</x:v>
      </x:c>
      <x:c r="C16" s="85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55" hidden="0" customWidth="1"/>
    <x:col min="4" max="4" width="16" hidden="0" customWidth="1"/>
    <x:col min="5" max="5" width="5" hidden="0" customWidth="1"/>
  </x:cols>
  <x:sheetData>
    <x:row r="1" ht="30" customHeight="1">
      <x:c r="A1" s="4" t="str">
        <x:v>J3-S1示范：独立计算结果与公式关系检查</x:v>
      </x:c>
      <x:c r="B1" s="4" t="str">
        <x:v>J3-S1示范：独立计算结果与公式关系检查</x:v>
      </x:c>
      <x:c r="C1" s="4" t="str">
        <x:v>J3-S1示范：独立计算结果与公式关系检查</x:v>
      </x:c>
      <x:c r="D1" s="4" t="str">
        <x:v>J3-S1示范：独立计算结果与公式关系检查</x:v>
      </x:c>
      <x:c r="E1" s="4" t="str">
        <x:v>J3-S1示范：独立计算结果与公式关系检查</x:v>
      </x:c>
    </x:row>
    <x:row r="3">
      <x:c r="A3" s="10" t="str">
        <x:v>冻结参数</x:v>
      </x:c>
      <x:c r="B3" s="10" t="str">
        <x:v>数值</x:v>
      </x:c>
      <x:c r="C3" s="10" t="str">
        <x:v>来源</x:v>
      </x:c>
    </x:row>
    <x:row r="4">
      <x:c r="A4" s="15" t="str">
        <x:v>ST</x:v>
      </x:c>
      <x:c r="B4" s="78" t="n">
        <x:f>'输入_工件'!C8</x:f>
        <x:v>8</x:v>
      </x:c>
      <x:c r="C4" s="20" t="str">
        <x:v>输入_工件 J3-S1</x:v>
      </x:c>
    </x:row>
    <x:row r="5">
      <x:c r="A5" s="15" t="str">
        <x:v>SUT</x:v>
      </x:c>
      <x:c r="B5" s="78" t="n">
        <x:f>'输入_工件'!D8</x:f>
        <x:v>2</x:v>
      </x:c>
      <x:c r="C5" s="20" t="str">
        <x:v>输入_工件 J3-S1；与前序工件无关</x:v>
      </x:c>
    </x:row>
    <x:row r="6">
      <x:c r="A6" s="15" t="str">
        <x:v>MS</x:v>
      </x:c>
      <x:c r="B6" s="78" t="n">
        <x:f>'输入_机器'!D4</x:f>
        <x:v>1</x:v>
      </x:c>
      <x:c r="C6" s="20" t="str">
        <x:v>输入_机器 F1-S1-M1</x:v>
      </x:c>
    </x:row>
    <x:row r="7">
      <x:c r="A7" s="15" t="str">
        <x:v>机器功率</x:v>
      </x:c>
      <x:c r="B7" s="78" t="n">
        <x:f>'输入_机器'!E4</x:f>
        <x:v>6</x:v>
      </x:c>
      <x:c r="C7" s="20" t="str">
        <x:v>输入_机器 F1-S1-M1</x:v>
      </x:c>
    </x:row>
    <x:row r="8">
      <x:c r="A8" s="15" t="str">
        <x:v>WE</x:v>
      </x:c>
      <x:c r="B8" s="78" t="n">
        <x:f>'输入_工人'!F4</x:f>
        <x:v>1</x:v>
      </x:c>
      <x:c r="C8" s="20" t="str">
        <x:v>输入_工人 F1-W1</x:v>
      </x:c>
    </x:row>
    <x:row r="9">
      <x:c r="A9" s="15" t="str">
        <x:v>成本率</x:v>
      </x:c>
      <x:c r="B9" s="78" t="n">
        <x:f>'输入_工人'!G4</x:f>
        <x:v>10</x:v>
      </x:c>
      <x:c r="C9" s="20" t="str">
        <x:v>输入_工人 F1-W1</x:v>
      </x:c>
    </x:row>
    <x:row r="10">
      <x:c r="A10" s="15" t="str">
        <x:v>r</x:v>
      </x:c>
      <x:c r="B10" s="78" t="n">
        <x:v>0.3</x:v>
      </x:c>
      <x:c r="C10" s="20" t="str">
        <x:v>阶段最大疲劳工时增幅</x:v>
      </x:c>
    </x:row>
    <x:row r="11">
      <x:c r="A11" s="15" t="str">
        <x:v>lambda</x:v>
      </x:c>
      <x:c r="B11" s="78" t="n">
        <x:f>'输入_工人'!H4</x:f>
        <x:v>0.02</x:v>
      </x:c>
      <x:c r="C11" s="20" t="str">
        <x:v>输入_工人 F1-W1/S1</x:v>
      </x:c>
    </x:row>
    <x:row r="12">
      <x:c r="A12" s="15" t="str">
        <x:v>mu</x:v>
      </x:c>
      <x:c r="B12" s="78" t="n">
        <x:f>'输入_工人'!I4</x:f>
        <x:v>0.05</x:v>
      </x:c>
      <x:c r="C12" s="20" t="str">
        <x:v>输入_工人 F1-W1/S1；本工序无前序恢复</x:v>
      </x:c>
    </x:row>
    <x:row r="15">
      <x:c r="A15" s="10" t="str">
        <x:v>手算项目</x:v>
      </x:c>
      <x:c r="B15" s="10" t="str">
        <x:v>本人结果</x:v>
      </x:c>
      <x:c r="C15" s="10" t="str">
        <x:v>公式提示</x:v>
      </x:c>
      <x:c r="D15" s="10" t="str">
        <x:v>自检</x:v>
      </x:c>
    </x:row>
    <x:row r="16">
      <x:c r="A16" s="15" t="str">
        <x:v>工件前序完工</x:v>
      </x:c>
      <x:c r="B16" s="78" t="n">
        <x:v>0</x:v>
      </x:c>
      <x:c r="C16" s="20" t="str">
        <x:v>第一阶段没有工件前序</x:v>
      </x:c>
      <x:c r="D16" s="91" t="str">
        <x:v>冻结</x:v>
      </x:c>
    </x:row>
    <x:row r="17">
      <x:c r="A17" s="15" t="str">
        <x:v>机器可用时间</x:v>
      </x:c>
      <x:c r="B17" s="78" t="n">
        <x:v>0</x:v>
      </x:c>
      <x:c r="C17" s="20" t="str">
        <x:v>F1-S1-M1首次使用</x:v>
      </x:c>
      <x:c r="D17" s="91" t="str">
        <x:v>冻结</x:v>
      </x:c>
    </x:row>
    <x:row r="18">
      <x:c r="A18" s="15" t="str">
        <x:v>工人可用时间</x:v>
      </x:c>
      <x:c r="B18" s="78" t="n">
        <x:v>0</x:v>
      </x:c>
      <x:c r="C18" s="20" t="str">
        <x:v>F1-W1首次使用</x:v>
      </x:c>
      <x:c r="D18" s="91" t="str">
        <x:v>冻结</x:v>
      </x:c>
    </x:row>
    <x:row r="19">
      <x:c r="A19" s="15" t="str">
        <x:v>Fbefore</x:v>
      </x:c>
      <x:c r="B19" s="78" t="n">
        <x:v>0</x:v>
      </x:c>
      <x:c r="C19" s="20" t="str">
        <x:v>初始疲劳</x:v>
      </x:c>
      <x:c r="D19" s="91" t="str">
        <x:v>冻结</x:v>
      </x:c>
    </x:row>
    <x:row r="20">
      <x:c r="A20" s="15" t="str">
        <x:v>开始S</x:v>
      </x:c>
      <x:c r="B20" s="84" t="n">
        <x:v>0</x:v>
      </x:c>
      <x:c r="C20" s="20" t="str">
        <x:v>max(前三个可用时间)</x:v>
      </x:c>
      <x:c r="D20" s="110" t="str">
        <x:v>PASS</x:v>
      </x:c>
    </x:row>
    <x:row r="21">
      <x:c r="A21" s="15" t="str">
        <x:v>恢复时长</x:v>
      </x:c>
      <x:c r="B21" s="84" t="n">
        <x:v>0</x:v>
      </x:c>
      <x:c r="C21" s="20" t="str">
        <x:v>首次任务按当前代码记0</x:v>
      </x:c>
      <x:c r="D21" s="110" t="str">
        <x:v>PASS</x:v>
      </x:c>
    </x:row>
    <x:row r="22">
      <x:c r="A22" s="15" t="str">
        <x:v>Fstart</x:v>
      </x:c>
      <x:c r="B22" s="84" t="n">
        <x:v>0</x:v>
      </x:c>
      <x:c r="C22" s="20" t="str">
        <x:v>Fbefore×exp(-mu×恢复时长)</x:v>
      </x:c>
      <x:c r="D22" s="110" t="str">
        <x:v>PASS</x:v>
      </x:c>
    </x:row>
    <x:row r="23">
      <x:c r="A23" s="15" t="str">
        <x:v>PT0</x:v>
      </x:c>
      <x:c r="B23" s="84" t="n">
        <x:v>8</x:v>
      </x:c>
      <x:c r="C23" s="20" t="str">
        <x:v>ST/(MS×WE)</x:v>
      </x:c>
      <x:c r="D23" s="110" t="str">
        <x:v>PASS</x:v>
      </x:c>
    </x:row>
    <x:row r="24">
      <x:c r="A24" s="15" t="str">
        <x:v>SET0</x:v>
      </x:c>
      <x:c r="B24" s="84" t="n">
        <x:v>2</x:v>
      </x:c>
      <x:c r="C24" s="20" t="str">
        <x:v>SUT/WE</x:v>
      </x:c>
      <x:c r="D24" s="110" t="str">
        <x:v>PASS</x:v>
      </x:c>
    </x:row>
    <x:row r="25">
      <x:c r="A25" s="15" t="str">
        <x:v>AT0</x:v>
      </x:c>
      <x:c r="B25" s="84" t="n">
        <x:v>10</x:v>
      </x:c>
      <x:c r="C25" s="20" t="str">
        <x:v>PT0+SET0</x:v>
      </x:c>
      <x:c r="D25" s="110" t="str">
        <x:v>PASS</x:v>
      </x:c>
    </x:row>
    <x:row r="26">
      <x:c r="A26" s="15" t="str">
        <x:v>疲劳倍率q</x:v>
      </x:c>
      <x:c r="B26" s="84" t="n">
        <x:v>1</x:v>
      </x:c>
      <x:c r="C26" s="20" t="str">
        <x:v>1+r/ln(2)×ln(1+Fstart)</x:v>
      </x:c>
      <x:c r="D26" s="110" t="str">
        <x:v>PASS</x:v>
      </x:c>
    </x:row>
    <x:row r="27">
      <x:c r="A27" s="15" t="str">
        <x:v>实际PT</x:v>
      </x:c>
      <x:c r="B27" s="84" t="n">
        <x:v>8</x:v>
      </x:c>
      <x:c r="C27" s="20" t="str">
        <x:v>PT0×q</x:v>
      </x:c>
      <x:c r="D27" s="110" t="str">
        <x:v>PASS</x:v>
      </x:c>
    </x:row>
    <x:row r="28">
      <x:c r="A28" s="15" t="str">
        <x:v>实际SET</x:v>
      </x:c>
      <x:c r="B28" s="84" t="n">
        <x:v>2</x:v>
      </x:c>
      <x:c r="C28" s="20" t="str">
        <x:v>SET0×q</x:v>
      </x:c>
      <x:c r="D28" s="110" t="str">
        <x:v>PASS</x:v>
      </x:c>
    </x:row>
    <x:row r="29">
      <x:c r="A29" s="15" t="str">
        <x:v>实际AT</x:v>
      </x:c>
      <x:c r="B29" s="84" t="n">
        <x:v>10</x:v>
      </x:c>
      <x:c r="C29" s="20" t="str">
        <x:v>实际PT+实际SET</x:v>
      </x:c>
      <x:c r="D29" s="110" t="str">
        <x:v>PASS</x:v>
      </x:c>
    </x:row>
    <x:row r="30">
      <x:c r="A30" s="15" t="str">
        <x:v>结束C</x:v>
      </x:c>
      <x:c r="B30" s="84" t="n">
        <x:v>10</x:v>
      </x:c>
      <x:c r="C30" s="20" t="str">
        <x:v>开始S+实际AT</x:v>
      </x:c>
      <x:c r="D30" s="110" t="str">
        <x:v>PASS</x:v>
      </x:c>
    </x:row>
    <x:row r="31">
      <x:c r="A31" s="15" t="str">
        <x:v>Fafter</x:v>
      </x:c>
      <x:c r="B31" s="84" t="n">
        <x:v>0.18126924692201815</x:v>
      </x:c>
      <x:c r="C31" s="20" t="str">
        <x:v>Fstart+(1-Fstart)×(1-exp(-lambda×实际AT))</x:v>
      </x:c>
      <x:c r="D31" s="110" t="str">
        <x:v>PASS</x:v>
      </x:c>
    </x:row>
    <x:row r="32">
      <x:c r="A32" s="15" t="str">
        <x:v>机器空闲</x:v>
      </x:c>
      <x:c r="B32" s="84" t="n">
        <x:v>0</x:v>
      </x:c>
      <x:c r="C32" s="20" t="str">
        <x:v>首次使用为0</x:v>
      </x:c>
      <x:c r="D32" s="110" t="str">
        <x:v>PASS</x:v>
      </x:c>
    </x:row>
    <x:row r="33">
      <x:c r="A33" s="15" t="str">
        <x:v>Energy</x:v>
      </x:c>
      <x:c r="B33" s="84" t="n">
        <x:v>60</x:v>
      </x:c>
      <x:c r="C33" s="20" t="str">
        <x:v>实际AT×功率+机器空闲</x:v>
      </x:c>
      <x:c r="D33" s="110" t="str">
        <x:v>PASS</x:v>
      </x:c>
    </x:row>
    <x:row r="34">
      <x:c r="A34" s="15" t="str">
        <x:v>Cost</x:v>
      </x:c>
      <x:c r="B34" s="84" t="n">
        <x:v>100</x:v>
      </x:c>
      <x:c r="C34" s="20" t="str">
        <x:v>(实际AT+机器空闲)×成本率</x:v>
      </x:c>
      <x:c r="D34" s="110" t="str">
        <x:v>PASS</x:v>
      </x:c>
    </x:row>
    <x:row r="36">
      <x:c r="A36" s="20" t="str">
        <x:v>说明：本页黄色数值来自独立公式重建，不读取Java程序输出；Java结果见“Java程序结果”，逐字段误差见“370字段明细”。</x:v>
      </x:c>
      <x:c r="B36" s="20" t="str">
        <x:v>说明：本页黄色数值来自独立公式重建，不读取Java程序输出；Java结果见“Java程序结果”，逐字段误差见“370字段明细”。</x:v>
      </x:c>
      <x:c r="C36" s="20" t="str">
        <x:v>说明：本页黄色数值来自独立公式重建，不读取Java程序输出；Java结果见“Java程序结果”，逐字段误差见“370字段明细”。</x:v>
      </x:c>
      <x:c r="D36" s="20" t="str">
        <x:v>说明：本页黄色数值来自独立公式重建，不读取Java程序输出；Java结果见“Java程序结果”，逐字段误差见“370字段明细”。</x:v>
      </x:c>
      <x:c r="E36" s="20" t="str">
        <x:v>说明：本页黄色数值来自独立公式重建，不读取Java程序输出；Java结果见“Java程序结果”，逐字段误差见“370字段明细”。</x:v>
      </x:c>
    </x:row>
    <x:row r="37">
      <x:c r="A37" s="20" t="str">
        <x:v>说明：本页黄色数值来自独立公式重建，不读取Java程序输出；Java结果见“Java程序结果”，逐字段误差见“370字段明细”。</x:v>
      </x:c>
      <x:c r="B37" s="20" t="str">
        <x:v>说明：本页黄色数值来自独立公式重建，不读取Java程序输出；Java结果见“Java程序结果”，逐字段误差见“370字段明细”。</x:v>
      </x:c>
      <x:c r="C37" s="20" t="str">
        <x:v>说明：本页黄色数值来自独立公式重建，不读取Java程序输出；Java结果见“Java程序结果”，逐字段误差见“370字段明细”。</x:v>
      </x:c>
      <x:c r="D37" s="20" t="str">
        <x:v>说明：本页黄色数值来自独立公式重建，不读取Java程序输出；Java结果见“Java程序结果”，逐字段误差见“370字段明细”。</x:v>
      </x:c>
      <x:c r="E37" s="20" t="str">
        <x:v>说明：本页黄色数值来自独立公式重建，不读取Java程序输出；Java结果见“Java程序结果”，逐字段误差见“370字段明细”。</x:v>
      </x:c>
    </x:row>
    <x:row r="38">
      <x:c r="A38" s="20" t="str">
        <x:v>说明：本页黄色数值来自独立公式重建，不读取Java程序输出；Java结果见“Java程序结果”，逐字段误差见“370字段明细”。</x:v>
      </x:c>
      <x:c r="B38" s="20" t="str">
        <x:v>说明：本页黄色数值来自独立公式重建，不读取Java程序输出；Java结果见“Java程序结果”，逐字段误差见“370字段明细”。</x:v>
      </x:c>
      <x:c r="C38" s="20" t="str">
        <x:v>说明：本页黄色数值来自独立公式重建，不读取Java程序输出；Java结果见“Java程序结果”，逐字段误差见“370字段明细”。</x:v>
      </x:c>
      <x:c r="D38" s="20" t="str">
        <x:v>说明：本页黄色数值来自独立公式重建，不读取Java程序输出；Java结果见“Java程序结果”，逐字段误差见“370字段明细”。</x:v>
      </x:c>
      <x:c r="E38" s="20" t="str">
        <x:v>说明：本页黄色数值来自独立公式重建，不读取Java程序输出；Java结果见“Java程序结果”，逐字段误差见“370字段明细”。</x:v>
      </x:c>
    </x:row>
  </x:sheetData>
  <x:mergeCells>
    <x:mergeCell ref="A1:E1"/>
    <x:mergeCell ref="A36:E3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13" hidden="0" customWidth="1"/>
    <x:col min="5" max="5" width="11" hidden="0" customWidth="1"/>
    <x:col min="6" max="6" width="13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0" hidden="0" customWidth="1"/>
  </x:cols>
  <x:sheetData>
    <x:row r="1" ht="30" customHeight="1">
      <x:c r="A1" s="4" t="str">
        <x:v>10道工序排程时间线（先完成第一阶段，再决定第二阶段顺序）</x:v>
      </x:c>
      <x:c r="B1" s="4" t="str">
        <x:v>10道工序排程时间线（先完成第一阶段，再决定第二阶段顺序）</x:v>
      </x:c>
      <x:c r="C1" s="4" t="str">
        <x:v>10道工序排程时间线（先完成第一阶段，再决定第二阶段顺序）</x:v>
      </x:c>
      <x:c r="D1" s="4" t="str">
        <x:v>10道工序排程时间线（先完成第一阶段，再决定第二阶段顺序）</x:v>
      </x:c>
      <x:c r="E1" s="4" t="str">
        <x:v>10道工序排程时间线（先完成第一阶段，再决定第二阶段顺序）</x:v>
      </x:c>
      <x:c r="F1" s="4" t="str">
        <x:v>10道工序排程时间线（先完成第一阶段，再决定第二阶段顺序）</x:v>
      </x:c>
      <x:c r="G1" s="4" t="str">
        <x:v>10道工序排程时间线（先完成第一阶段，再决定第二阶段顺序）</x:v>
      </x:c>
      <x:c r="H1" s="4" t="str">
        <x:v>10道工序排程时间线（先完成第一阶段，再决定第二阶段顺序）</x:v>
      </x:c>
      <x:c r="I1" s="4" t="str">
        <x:v>10道工序排程时间线（先完成第一阶段，再决定第二阶段顺序）</x:v>
      </x:c>
      <x:c r="J1" s="4" t="str">
        <x:v>10道工序排程时间线（先完成第一阶段，再决定第二阶段顺序）</x:v>
      </x:c>
      <x:c r="K1" s="4" t="str">
        <x:v>10道工序排程时间线（先完成第一阶段，再决定第二阶段顺序）</x:v>
      </x:c>
      <x:c r="L1" s="4" t="str">
        <x:v>10道工序排程时间线（先完成第一阶段，再决定第二阶段顺序）</x:v>
      </x:c>
      <x:c r="M1" s="4" t="str">
        <x:v>10道工序排程时间线（先完成第一阶段，再决定第二阶段顺序）</x:v>
      </x:c>
      <x:c r="N1" s="4" t="str">
        <x:v>10道工序排程时间线（先完成第一阶段，再决定第二阶段顺序）</x:v>
      </x:c>
      <x:c r="O1" s="4" t="str">
        <x:v>10道工序排程时间线（先完成第一阶段，再决定第二阶段顺序）</x:v>
      </x:c>
      <x:c r="P1" s="4" t="str">
        <x:v>10道工序排程时间线（先完成第一阶段，再决定第二阶段顺序）</x:v>
      </x:c>
      <x:c r="Q1" s="4" t="str">
        <x:v>10道工序排程时间线（先完成第一阶段，再决定第二阶段顺序）</x:v>
      </x:c>
    </x:row>
    <x:row r="3">
      <x:c r="A3" s="10" t="str">
        <x:v>序号</x:v>
      </x:c>
      <x:c r="B3" s="10" t="str">
        <x:v>工厂</x:v>
      </x:c>
      <x:c r="C3" s="10" t="str">
        <x:v>阶段</x:v>
      </x:c>
      <x:c r="D3" s="10" t="str">
        <x:v>阶段内次序</x:v>
      </x:c>
      <x:c r="E3" s="10" t="str">
        <x:v>工件</x:v>
      </x:c>
      <x:c r="F3" s="10" t="str">
        <x:v>局部机器</x:v>
      </x:c>
      <x:c r="G3" s="10" t="str">
        <x:v>工厂内工人ID</x:v>
      </x:c>
      <x:c r="H3" s="10" t="str">
        <x:v>工件前序C</x:v>
      </x:c>
      <x:c r="I3" s="10" t="str">
        <x:v>机器可用</x:v>
      </x:c>
      <x:c r="J3" s="10" t="str">
        <x:v>工人可用</x:v>
      </x:c>
      <x:c r="K3" s="10" t="str">
        <x:v>开始S</x:v>
      </x:c>
      <x:c r="L3" s="10" t="str">
        <x:v>恢复时长</x:v>
      </x:c>
      <x:c r="M3" s="10" t="str">
        <x:v>Fbefore</x:v>
      </x:c>
      <x:c r="N3" s="10" t="str">
        <x:v>Fstart</x:v>
      </x:c>
      <x:c r="O3" s="10" t="str">
        <x:v>结束C</x:v>
      </x:c>
      <x:c r="P3" s="10" t="str">
        <x:v>机器空闲</x:v>
      </x:c>
      <x:c r="Q3" s="10" t="str">
        <x:v>本人备注</x:v>
      </x:c>
    </x:row>
    <x:row r="4">
      <x:c r="A4" s="15" t="n">
        <x:v>1</x:v>
      </x:c>
      <x:c r="B4" s="111" t="n">
        <x:v>1</x:v>
      </x:c>
      <x:c r="C4" s="111" t="n">
        <x:v>1</x:v>
      </x:c>
      <x:c r="D4" s="111" t="n">
        <x:v>1</x:v>
      </x:c>
      <x:c r="E4" s="111" t="n">
        <x:v>3</x:v>
      </x:c>
      <x:c r="F4" s="111" t="n">
        <x:v>1</x:v>
      </x:c>
      <x:c r="G4" s="111" t="n">
        <x:v>1</x:v>
      </x:c>
      <x:c r="H4" s="113" t="n">
        <x:v>0</x:v>
      </x:c>
      <x:c r="I4" s="113" t="n">
        <x:v>0</x:v>
      </x:c>
      <x:c r="J4" s="113" t="n">
        <x:v>0</x:v>
      </x:c>
      <x:c r="K4" s="113" t="n">
        <x:v>0</x:v>
      </x:c>
      <x:c r="L4" s="113" t="n">
        <x:v>0</x:v>
      </x:c>
      <x:c r="M4" s="113" t="n">
        <x:v>0</x:v>
      </x:c>
      <x:c r="N4" s="113" t="n">
        <x:v>0</x:v>
      </x:c>
      <x:c r="O4" s="113" t="n">
        <x:v>10</x:v>
      </x:c>
      <x:c r="P4" s="113" t="n">
        <x:v>0</x:v>
      </x:c>
      <x:c r="Q4" s="85" t="str">
        <x:v>MA/WA由X0固定</x:v>
      </x:c>
    </x:row>
    <x:row r="5">
      <x:c r="A5" s="15" t="n">
        <x:v>2</x:v>
      </x:c>
      <x:c r="B5" s="111" t="n">
        <x:v>1</x:v>
      </x:c>
      <x:c r="C5" s="111" t="n">
        <x:v>1</x:v>
      </x:c>
      <x:c r="D5" s="111" t="n">
        <x:v>2</x:v>
      </x:c>
      <x:c r="E5" s="111" t="n">
        <x:v>4</x:v>
      </x:c>
      <x:c r="F5" s="111" t="n">
        <x:v>1</x:v>
      </x:c>
      <x:c r="G5" s="111" t="n">
        <x:v>2</x:v>
      </x:c>
      <x:c r="H5" s="113" t="n">
        <x:v>0</x:v>
      </x:c>
      <x:c r="I5" s="113" t="n">
        <x:v>10</x:v>
      </x:c>
      <x:c r="J5" s="113" t="n">
        <x:v>0</x:v>
      </x:c>
      <x:c r="K5" s="113" t="n">
        <x:v>10</x:v>
      </x:c>
      <x:c r="L5" s="113" t="n">
        <x:v>0</x:v>
      </x:c>
      <x:c r="M5" s="113" t="n">
        <x:v>0</x:v>
      </x:c>
      <x:c r="N5" s="113" t="n">
        <x:v>0</x:v>
      </x:c>
      <x:c r="O5" s="113" t="n">
        <x:v>18</x:v>
      </x:c>
      <x:c r="P5" s="113" t="n">
        <x:v>0</x:v>
      </x:c>
      <x:c r="Q5" s="85" t="str">
        <x:v>MA/WA由X0固定</x:v>
      </x:c>
    </x:row>
    <x:row r="6">
      <x:c r="A6" s="15" t="n">
        <x:v>3</x:v>
      </x:c>
      <x:c r="B6" s="111" t="n">
        <x:v>1</x:v>
      </x:c>
      <x:c r="C6" s="111" t="n">
        <x:v>1</x:v>
      </x:c>
      <x:c r="D6" s="111" t="n">
        <x:v>3</x:v>
      </x:c>
      <x:c r="E6" s="111" t="n">
        <x:v>5</x:v>
      </x:c>
      <x:c r="F6" s="111" t="n">
        <x:v>2</x:v>
      </x:c>
      <x:c r="G6" s="111" t="n">
        <x:v>2</x:v>
      </x:c>
      <x:c r="H6" s="113" t="n">
        <x:v>0</x:v>
      </x:c>
      <x:c r="I6" s="113" t="n">
        <x:v>0</x:v>
      </x:c>
      <x:c r="J6" s="113" t="n">
        <x:v>18</x:v>
      </x:c>
      <x:c r="K6" s="113" t="n">
        <x:v>18</x:v>
      </x:c>
      <x:c r="L6" s="113" t="n">
        <x:v>0</x:v>
      </x:c>
      <x:c r="M6" s="113" t="n">
        <x:v>0.18126924692201815</x:v>
      </x:c>
      <x:c r="N6" s="113" t="n">
        <x:v>0.18126924692201815</x:v>
      </x:c>
      <x:c r="O6" s="113" t="n">
        <x:v>23.360506753953242</x:v>
      </x:c>
      <x:c r="P6" s="113" t="n">
        <x:v>0</x:v>
      </x:c>
      <x:c r="Q6" s="85" t="str">
        <x:v>MA/WA由X0固定</x:v>
      </x:c>
    </x:row>
    <x:row r="7">
      <x:c r="A7" s="15" t="n">
        <x:v>4</x:v>
      </x:c>
      <x:c r="B7" s="111" t="n">
        <x:v>1</x:v>
      </x:c>
      <x:c r="C7" s="111" t="n">
        <x:v>2</x:v>
      </x:c>
      <x:c r="D7" s="111" t="n">
        <x:v>1</x:v>
      </x:c>
      <x:c r="E7" s="112" t="n">
        <x:v>3</x:v>
      </x:c>
      <x:c r="F7" s="112" t="n">
        <x:v>1</x:v>
      </x:c>
      <x:c r="G7" s="112" t="n">
        <x:v>4</x:v>
      </x:c>
      <x:c r="H7" s="113" t="n">
        <x:v>10</x:v>
      </x:c>
      <x:c r="I7" s="113" t="n">
        <x:v>0</x:v>
      </x:c>
      <x:c r="J7" s="113" t="n">
        <x:v>0</x:v>
      </x:c>
      <x:c r="K7" s="113" t="n">
        <x:v>10</x:v>
      </x:c>
      <x:c r="L7" s="113" t="n">
        <x:v>0</x:v>
      </x:c>
      <x:c r="M7" s="113" t="n">
        <x:v>0</x:v>
      </x:c>
      <x:c r="N7" s="113" t="n">
        <x:v>0</x:v>
      </x:c>
      <x:c r="O7" s="113" t="n">
        <x:v>15</x:v>
      </x:c>
      <x:c r="P7" s="113" t="n">
        <x:v>0</x:v>
      </x:c>
      <x:c r="Q7" s="85" t="str">
        <x:v>FM3候选结束时间最小</x:v>
      </x:c>
    </x:row>
    <x:row r="8">
      <x:c r="A8" s="15" t="n">
        <x:v>5</x:v>
      </x:c>
      <x:c r="B8" s="111" t="n">
        <x:v>1</x:v>
      </x:c>
      <x:c r="C8" s="111" t="n">
        <x:v>2</x:v>
      </x:c>
      <x:c r="D8" s="111" t="n">
        <x:v>2</x:v>
      </x:c>
      <x:c r="E8" s="112" t="n">
        <x:v>4</x:v>
      </x:c>
      <x:c r="F8" s="112" t="n">
        <x:v>2</x:v>
      </x:c>
      <x:c r="G8" s="112" t="n">
        <x:v>4</x:v>
      </x:c>
      <x:c r="H8" s="113" t="n">
        <x:v>18</x:v>
      </x:c>
      <x:c r="I8" s="113" t="n">
        <x:v>0</x:v>
      </x:c>
      <x:c r="J8" s="113" t="n">
        <x:v>15</x:v>
      </x:c>
      <x:c r="K8" s="113" t="n">
        <x:v>18</x:v>
      </x:c>
      <x:c r="L8" s="113" t="n">
        <x:v>3</x:v>
      </x:c>
      <x:c r="M8" s="113" t="n">
        <x:v>0.10416586470347174</x:v>
      </x:c>
      <x:c r="N8" s="113" t="n">
        <x:v>0.08965639062149151</x:v>
      </x:c>
      <x:c r="O8" s="113" t="n">
        <x:v>25.951575190102044</x:v>
      </x:c>
      <x:c r="P8" s="113" t="n">
        <x:v>0</x:v>
      </x:c>
      <x:c r="Q8" s="85" t="str">
        <x:v>FM3候选结束时间最小</x:v>
      </x:c>
    </x:row>
    <x:row r="9">
      <x:c r="A9" s="15" t="n">
        <x:v>6</x:v>
      </x:c>
      <x:c r="B9" s="111" t="n">
        <x:v>1</x:v>
      </x:c>
      <x:c r="C9" s="111" t="n">
        <x:v>2</x:v>
      </x:c>
      <x:c r="D9" s="111" t="n">
        <x:v>3</x:v>
      </x:c>
      <x:c r="E9" s="112" t="n">
        <x:v>5</x:v>
      </x:c>
      <x:c r="F9" s="112" t="n">
        <x:v>1</x:v>
      </x:c>
      <x:c r="G9" s="112" t="n">
        <x:v>3</x:v>
      </x:c>
      <x:c r="H9" s="113" t="n">
        <x:v>23.360506753953242</x:v>
      </x:c>
      <x:c r="I9" s="113" t="n">
        <x:v>15</x:v>
      </x:c>
      <x:c r="J9" s="113" t="n">
        <x:v>0</x:v>
      </x:c>
      <x:c r="K9" s="113" t="n">
        <x:v>23.360506753953242</x:v>
      </x:c>
      <x:c r="L9" s="113" t="n">
        <x:v>0</x:v>
      </x:c>
      <x:c r="M9" s="113" t="n">
        <x:v>0</x:v>
      </x:c>
      <x:c r="N9" s="113" t="n">
        <x:v>0</x:v>
      </x:c>
      <x:c r="O9" s="113" t="n">
        <x:v>31.360506753953242</x:v>
      </x:c>
      <x:c r="P9" s="113" t="n">
        <x:v>8.360506753953242</x:v>
      </x:c>
      <x:c r="Q9" s="85" t="str">
        <x:v>FM3候选结束时间最小</x:v>
      </x:c>
    </x:row>
    <x:row r="10">
      <x:c r="A10" s="15" t="n">
        <x:v>7</x:v>
      </x:c>
      <x:c r="B10" s="111" t="n">
        <x:v>2</x:v>
      </x:c>
      <x:c r="C10" s="111" t="n">
        <x:v>1</x:v>
      </x:c>
      <x:c r="D10" s="111" t="n">
        <x:v>1</x:v>
      </x:c>
      <x:c r="E10" s="111" t="n">
        <x:v>1</x:v>
      </x:c>
      <x:c r="F10" s="111" t="n">
        <x:v>1</x:v>
      </x:c>
      <x:c r="G10" s="111" t="n">
        <x:v>1</x:v>
      </x:c>
      <x:c r="H10" s="113" t="n">
        <x:v>0</x:v>
      </x:c>
      <x:c r="I10" s="113" t="n">
        <x:v>0</x:v>
      </x:c>
      <x:c r="J10" s="113" t="n">
        <x:v>0</x:v>
      </x:c>
      <x:c r="K10" s="113" t="n">
        <x:v>0</x:v>
      </x:c>
      <x:c r="L10" s="113" t="n">
        <x:v>0</x:v>
      </x:c>
      <x:c r="M10" s="113" t="n">
        <x:v>0</x:v>
      </x:c>
      <x:c r="N10" s="113" t="n">
        <x:v>0</x:v>
      </x:c>
      <x:c r="O10" s="113" t="n">
        <x:v>12</x:v>
      </x:c>
      <x:c r="P10" s="113" t="n">
        <x:v>0</x:v>
      </x:c>
      <x:c r="Q10" s="85" t="str">
        <x:v>MA/WA由X0固定</x:v>
      </x:c>
    </x:row>
    <x:row r="11">
      <x:c r="A11" s="15" t="n">
        <x:v>8</x:v>
      </x:c>
      <x:c r="B11" s="111" t="n">
        <x:v>2</x:v>
      </x:c>
      <x:c r="C11" s="111" t="n">
        <x:v>1</x:v>
      </x:c>
      <x:c r="D11" s="111" t="n">
        <x:v>2</x:v>
      </x:c>
      <x:c r="E11" s="111" t="n">
        <x:v>2</x:v>
      </x:c>
      <x:c r="F11" s="111" t="n">
        <x:v>1</x:v>
      </x:c>
      <x:c r="G11" s="111" t="n">
        <x:v>1</x:v>
      </x:c>
      <x:c r="H11" s="113" t="n">
        <x:v>0</x:v>
      </x:c>
      <x:c r="I11" s="113" t="n">
        <x:v>12</x:v>
      </x:c>
      <x:c r="J11" s="113" t="n">
        <x:v>12</x:v>
      </x:c>
      <x:c r="K11" s="113" t="n">
        <x:v>12</x:v>
      </x:c>
      <x:c r="L11" s="113" t="n">
        <x:v>0</x:v>
      </x:c>
      <x:c r="M11" s="113" t="n">
        <x:v>0.22275526193105386</x:v>
      </x:c>
      <x:c r="N11" s="113" t="n">
        <x:v>0.22275526193105386</x:v>
      </x:c>
      <x:c r="O11" s="113" t="n">
        <x:v>19.609284913500886</x:v>
      </x:c>
      <x:c r="P11" s="113" t="n">
        <x:v>0</x:v>
      </x:c>
      <x:c r="Q11" s="85" t="str">
        <x:v>MA/WA由X0固定</x:v>
      </x:c>
    </x:row>
    <x:row r="12">
      <x:c r="A12" s="15" t="n">
        <x:v>9</x:v>
      </x:c>
      <x:c r="B12" s="111" t="n">
        <x:v>2</x:v>
      </x:c>
      <x:c r="C12" s="111" t="n">
        <x:v>2</x:v>
      </x:c>
      <x:c r="D12" s="111" t="n">
        <x:v>1</x:v>
      </x:c>
      <x:c r="E12" s="112" t="n">
        <x:v>1</x:v>
      </x:c>
      <x:c r="F12" s="112" t="n">
        <x:v>1</x:v>
      </x:c>
      <x:c r="G12" s="112" t="n">
        <x:v>4</x:v>
      </x:c>
      <x:c r="H12" s="113" t="n">
        <x:v>12</x:v>
      </x:c>
      <x:c r="I12" s="113" t="n">
        <x:v>0</x:v>
      </x:c>
      <x:c r="J12" s="113" t="n">
        <x:v>0</x:v>
      </x:c>
      <x:c r="K12" s="113" t="n">
        <x:v>12</x:v>
      </x:c>
      <x:c r="L12" s="113" t="n">
        <x:v>0</x:v>
      </x:c>
      <x:c r="M12" s="113" t="n">
        <x:v>0</x:v>
      </x:c>
      <x:c r="N12" s="113" t="n">
        <x:v>0</x:v>
      </x:c>
      <x:c r="O12" s="113" t="n">
        <x:v>17.612648221343875</x:v>
      </x:c>
      <x:c r="P12" s="113" t="n">
        <x:v>0</x:v>
      </x:c>
      <x:c r="Q12" s="85" t="str">
        <x:v>FM3候选结束时间最小</x:v>
      </x:c>
    </x:row>
    <x:row r="13">
      <x:c r="A13" s="15" t="n">
        <x:v>10</x:v>
      </x:c>
      <x:c r="B13" s="111" t="n">
        <x:v>2</x:v>
      </x:c>
      <x:c r="C13" s="111" t="n">
        <x:v>2</x:v>
      </x:c>
      <x:c r="D13" s="111" t="n">
        <x:v>2</x:v>
      </x:c>
      <x:c r="E13" s="112" t="n">
        <x:v>2</x:v>
      </x:c>
      <x:c r="F13" s="112" t="n">
        <x:v>2</x:v>
      </x:c>
      <x:c r="G13" s="112" t="n">
        <x:v>4</x:v>
      </x:c>
      <x:c r="H13" s="113" t="n">
        <x:v>19.609284913500886</x:v>
      </x:c>
      <x:c r="I13" s="113" t="n">
        <x:v>0</x:v>
      </x:c>
      <x:c r="J13" s="113" t="n">
        <x:v>17.612648221343875</x:v>
      </x:c>
      <x:c r="K13" s="113" t="n">
        <x:v>19.609284913500886</x:v>
      </x:c>
      <x:c r="L13" s="113" t="n">
        <x:v>1.9966366921570113</x:v>
      </x:c>
      <x:c r="M13" s="113" t="n">
        <x:v>0.12110593754654357</x:v>
      </x:c>
      <x:c r="N13" s="113" t="n">
        <x:v>0.10959961315073387</x:v>
      </x:c>
      <x:c r="O13" s="113" t="n">
        <x:v>27.242414268530034</x:v>
      </x:c>
      <x:c r="P13" s="113" t="n">
        <x:v>0</x:v>
      </x:c>
      <x:c r="Q13" s="85" t="str">
        <x:v>FM3候选结束时间最小</x:v>
      </x:c>
    </x:row>
    <x:row r="16">
      <x:c r="A16" s="20" t="str">
        <x:v>第二阶段填写方法：先把本工厂第一阶段工件按结束时间升序排列；并列时保留上一阶段次序，再按较小工件号。阶段2第一个工件使用M1；后续工件选择当时可用时间最早的机器。工人不能直接填，必须先在“阶段2候选比较”中比较合法工人。</x:v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</x:row>
  </x:sheetData>
  <x:mergeCells>
    <x:mergeCell ref="A1:Q1"/>
    <x:mergeCell ref="A16:Q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0" hidden="0" customWidth="1"/>
    <x:col min="4" max="4" width="12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12" hidden="0" customWidth="1"/>
    <x:col min="18" max="18" width="16" hidden="0" customWidth="1"/>
    <x:col min="19" max="19" width="12" hidden="0" customWidth="1"/>
    <x:col min="20" max="20" width="30" hidden="0" customWidth="1"/>
  </x:cols>
  <x:sheetData>
    <x:row r="1" ht="30" customHeight="1">
      <x:c r="A1" s="4" t="str">
        <x:v>第二阶段疲劳感知工人选择：每个工件比较两个合法工人</x:v>
      </x:c>
      <x:c r="B1" s="4" t="str">
        <x:v>第二阶段疲劳感知工人选择：每个工件比较两个合法工人</x:v>
      </x:c>
      <x:c r="C1" s="4" t="str">
        <x:v>第二阶段疲劳感知工人选择：每个工件比较两个合法工人</x:v>
      </x:c>
      <x:c r="D1" s="4" t="str">
        <x:v>第二阶段疲劳感知工人选择：每个工件比较两个合法工人</x:v>
      </x:c>
      <x:c r="E1" s="4" t="str">
        <x:v>第二阶段疲劳感知工人选择：每个工件比较两个合法工人</x:v>
      </x:c>
      <x:c r="F1" s="4" t="str">
        <x:v>第二阶段疲劳感知工人选择：每个工件比较两个合法工人</x:v>
      </x:c>
      <x:c r="G1" s="4" t="str">
        <x:v>第二阶段疲劳感知工人选择：每个工件比较两个合法工人</x:v>
      </x:c>
      <x:c r="H1" s="4" t="str">
        <x:v>第二阶段疲劳感知工人选择：每个工件比较两个合法工人</x:v>
      </x:c>
      <x:c r="I1" s="4" t="str">
        <x:v>第二阶段疲劳感知工人选择：每个工件比较两个合法工人</x:v>
      </x:c>
      <x:c r="J1" s="4" t="str">
        <x:v>第二阶段疲劳感知工人选择：每个工件比较两个合法工人</x:v>
      </x:c>
      <x:c r="K1" s="4" t="str">
        <x:v>第二阶段疲劳感知工人选择：每个工件比较两个合法工人</x:v>
      </x:c>
      <x:c r="L1" s="4" t="str">
        <x:v>第二阶段疲劳感知工人选择：每个工件比较两个合法工人</x:v>
      </x:c>
      <x:c r="M1" s="4" t="str">
        <x:v>第二阶段疲劳感知工人选择：每个工件比较两个合法工人</x:v>
      </x:c>
      <x:c r="N1" s="4" t="str">
        <x:v>第二阶段疲劳感知工人选择：每个工件比较两个合法工人</x:v>
      </x:c>
      <x:c r="O1" s="4" t="str">
        <x:v>第二阶段疲劳感知工人选择：每个工件比较两个合法工人</x:v>
      </x:c>
      <x:c r="P1" s="4" t="str">
        <x:v>第二阶段疲劳感知工人选择：每个工件比较两个合法工人</x:v>
      </x:c>
      <x:c r="Q1" s="4" t="str">
        <x:v>第二阶段疲劳感知工人选择：每个工件比较两个合法工人</x:v>
      </x:c>
      <x:c r="R1" s="4" t="str">
        <x:v>第二阶段疲劳感知工人选择：每个工件比较两个合法工人</x:v>
      </x:c>
      <x:c r="S1" s="4" t="str">
        <x:v>第二阶段疲劳感知工人选择：每个工件比较两个合法工人</x:v>
      </x:c>
      <x:c r="T1" s="4" t="str">
        <x:v>第二阶段疲劳感知工人选择：每个工件比较两个合法工人</x:v>
      </x:c>
    </x:row>
    <x:row r="3">
      <x:c r="A3" s="10" t="str">
        <x:v>工厂</x:v>
      </x:c>
      <x:c r="B3" s="10" t="str">
        <x:v>阶段2次序</x:v>
      </x:c>
      <x:c r="C3" s="10" t="str">
        <x:v>工件</x:v>
      </x:c>
      <x:c r="D3" s="10" t="str">
        <x:v>局部机器</x:v>
      </x:c>
      <x:c r="E3" s="10" t="str">
        <x:v>候选工人ID</x:v>
      </x:c>
      <x:c r="F3" s="10" t="str">
        <x:v>工件前序C</x:v>
      </x:c>
      <x:c r="G3" s="10" t="str">
        <x:v>机器可用</x:v>
      </x:c>
      <x:c r="H3" s="10" t="str">
        <x:v>工人可用</x:v>
      </x:c>
      <x:c r="I3" s="10" t="str">
        <x:v>Fbefore</x:v>
      </x:c>
      <x:c r="J3" s="10" t="str">
        <x:v>恢复时长</x:v>
      </x:c>
      <x:c r="K3" s="10" t="str">
        <x:v>Fstart</x:v>
      </x:c>
      <x:c r="L3" s="10" t="str">
        <x:v>ST</x:v>
      </x:c>
      <x:c r="M3" s="10" t="str">
        <x:v>SUT</x:v>
      </x:c>
      <x:c r="N3" s="10" t="str">
        <x:v>MS</x:v>
      </x:c>
      <x:c r="O3" s="10" t="str">
        <x:v>WE</x:v>
      </x:c>
      <x:c r="P3" s="10" t="str">
        <x:v>PT0+SET0</x:v>
      </x:c>
      <x:c r="Q3" s="10" t="str">
        <x:v>倍率</x:v>
      </x:c>
      <x:c r="R3" s="10" t="str">
        <x:v>候选结束C</x:v>
      </x:c>
      <x:c r="S3" s="10" t="str">
        <x:v>是否最小</x:v>
      </x:c>
      <x:c r="T3" s="10" t="str">
        <x:v>选择说明</x:v>
      </x:c>
    </x:row>
    <x:row r="4">
      <x:c r="A4" s="111" t="n">
        <x:v>1</x:v>
      </x:c>
      <x:c r="B4" s="111" t="n">
        <x:v>1</x:v>
      </x:c>
      <x:c r="C4" s="112" t="n">
        <x:v>3</x:v>
      </x:c>
      <x:c r="D4" s="112" t="n">
        <x:v>1</x:v>
      </x:c>
      <x:c r="E4" s="111" t="n">
        <x:v>3</x:v>
      </x:c>
      <x:c r="F4" s="113" t="n">
        <x:v>10</x:v>
      </x:c>
      <x:c r="G4" s="113" t="n">
        <x:v>0</x:v>
      </x:c>
      <x:c r="H4" s="113" t="n">
        <x:v>0</x:v>
      </x:c>
      <x:c r="I4" s="113" t="n">
        <x:v>0</x:v>
      </x:c>
      <x:c r="J4" s="113" t="n">
        <x:v>0</x:v>
      </x:c>
      <x:c r="K4" s="113" t="n">
        <x:v>0</x:v>
      </x:c>
      <x:c r="L4" s="113" t="n">
        <x:v>5</x:v>
      </x:c>
      <x:c r="M4" s="113" t="n">
        <x:v>1</x:v>
      </x:c>
      <x:c r="N4" s="113" t="n">
        <x:v>1</x:v>
      </x:c>
      <x:c r="O4" s="113" t="n">
        <x:v>1</x:v>
      </x:c>
      <x:c r="P4" s="113" t="n">
        <x:v>6</x:v>
      </x:c>
      <x:c r="Q4" s="113" t="n">
        <x:v>1</x:v>
      </x:c>
      <x:c r="R4" s="113" t="n">
        <x:v>16</x:v>
      </x:c>
      <x:c r="S4" s="84" t="str">
        <x:v>否</x:v>
      </x:c>
      <x:c r="T4" s="83" t="str">
        <x:v>未选中</x:v>
      </x:c>
    </x:row>
    <x:row r="5">
      <x:c r="A5" s="111" t="n">
        <x:v>1</x:v>
      </x:c>
      <x:c r="B5" s="111" t="n">
        <x:v>1</x:v>
      </x:c>
      <x:c r="C5" s="112" t="n">
        <x:v>3</x:v>
      </x:c>
      <x:c r="D5" s="112" t="n">
        <x:v>1</x:v>
      </x:c>
      <x:c r="E5" s="111" t="n">
        <x:v>4</x:v>
      </x:c>
      <x:c r="F5" s="113" t="n">
        <x:v>10</x:v>
      </x:c>
      <x:c r="G5" s="113" t="n">
        <x:v>0</x:v>
      </x:c>
      <x:c r="H5" s="113" t="n">
        <x:v>0</x:v>
      </x:c>
      <x:c r="I5" s="113" t="n">
        <x:v>0</x:v>
      </x:c>
      <x:c r="J5" s="113" t="n">
        <x:v>0</x:v>
      </x:c>
      <x:c r="K5" s="113" t="n">
        <x:v>0</x:v>
      </x:c>
      <x:c r="L5" s="113" t="n">
        <x:v>5</x:v>
      </x:c>
      <x:c r="M5" s="113" t="n">
        <x:v>1</x:v>
      </x:c>
      <x:c r="N5" s="113" t="n">
        <x:v>1</x:v>
      </x:c>
      <x:c r="O5" s="113" t="n">
        <x:v>1.2</x:v>
      </x:c>
      <x:c r="P5" s="113" t="n">
        <x:v>5</x:v>
      </x:c>
      <x:c r="Q5" s="113" t="n">
        <x:v>1</x:v>
      </x:c>
      <x:c r="R5" s="113" t="n">
        <x:v>15</x:v>
      </x:c>
      <x:c r="S5" s="84" t="str">
        <x:v>是</x:v>
      </x:c>
      <x:c r="T5" s="83" t="str">
        <x:v>疲劳修正结束时间最小，Java选择相同工人</x:v>
      </x:c>
    </x:row>
    <x:row r="6">
      <x:c r="A6" s="111" t="n">
        <x:v>1</x:v>
      </x:c>
      <x:c r="B6" s="111" t="n">
        <x:v>2</x:v>
      </x:c>
      <x:c r="C6" s="112" t="n">
        <x:v>4</x:v>
      </x:c>
      <x:c r="D6" s="112" t="n">
        <x:v>2</x:v>
      </x:c>
      <x:c r="E6" s="111" t="n">
        <x:v>3</x:v>
      </x:c>
      <x:c r="F6" s="113" t="n">
        <x:v>18</x:v>
      </x:c>
      <x:c r="G6" s="113" t="n">
        <x:v>0</x:v>
      </x:c>
      <x:c r="H6" s="113" t="n">
        <x:v>0</x:v>
      </x:c>
      <x:c r="I6" s="113" t="n">
        <x:v>0</x:v>
      </x:c>
      <x:c r="J6" s="113" t="n">
        <x:v>0</x:v>
      </x:c>
      <x:c r="K6" s="113" t="n">
        <x:v>0</x:v>
      </x:c>
      <x:c r="L6" s="113" t="n">
        <x:v>9</x:v>
      </x:c>
      <x:c r="M6" s="113" t="n">
        <x:v>2</x:v>
      </x:c>
      <x:c r="N6" s="113" t="n">
        <x:v>1.25</x:v>
      </x:c>
      <x:c r="O6" s="113" t="n">
        <x:v>1</x:v>
      </x:c>
      <x:c r="P6" s="113" t="n">
        <x:v>9.2</x:v>
      </x:c>
      <x:c r="Q6" s="113" t="n">
        <x:v>1</x:v>
      </x:c>
      <x:c r="R6" s="113" t="n">
        <x:v>27.2</x:v>
      </x:c>
      <x:c r="S6" s="84" t="str">
        <x:v>否</x:v>
      </x:c>
      <x:c r="T6" s="83" t="str">
        <x:v>未选中</x:v>
      </x:c>
    </x:row>
    <x:row r="7">
      <x:c r="A7" s="111" t="n">
        <x:v>1</x:v>
      </x:c>
      <x:c r="B7" s="111" t="n">
        <x:v>2</x:v>
      </x:c>
      <x:c r="C7" s="112" t="n">
        <x:v>4</x:v>
      </x:c>
      <x:c r="D7" s="112" t="n">
        <x:v>2</x:v>
      </x:c>
      <x:c r="E7" s="111" t="n">
        <x:v>4</x:v>
      </x:c>
      <x:c r="F7" s="113" t="n">
        <x:v>18</x:v>
      </x:c>
      <x:c r="G7" s="113" t="n">
        <x:v>0</x:v>
      </x:c>
      <x:c r="H7" s="113" t="n">
        <x:v>15</x:v>
      </x:c>
      <x:c r="I7" s="113" t="n">
        <x:v>0.10416586470347174</x:v>
      </x:c>
      <x:c r="J7" s="113" t="n">
        <x:v>3</x:v>
      </x:c>
      <x:c r="K7" s="113" t="n">
        <x:v>0.08965639062149151</x:v>
      </x:c>
      <x:c r="L7" s="113" t="n">
        <x:v>9</x:v>
      </x:c>
      <x:c r="M7" s="113" t="n">
        <x:v>2</x:v>
      </x:c>
      <x:c r="N7" s="113" t="n">
        <x:v>1.25</x:v>
      </x:c>
      <x:c r="O7" s="113" t="n">
        <x:v>1.2</x:v>
      </x:c>
      <x:c r="P7" s="113" t="n">
        <x:v>7.666666666666667</x:v>
      </x:c>
      <x:c r="Q7" s="113" t="n">
        <x:v>1.037161981317658</x:v>
      </x:c>
      <x:c r="R7" s="113" t="n">
        <x:v>25.951575190102044</x:v>
      </x:c>
      <x:c r="S7" s="84" t="str">
        <x:v>是</x:v>
      </x:c>
      <x:c r="T7" s="83" t="str">
        <x:v>疲劳修正结束时间最小，Java选择相同工人</x:v>
      </x:c>
    </x:row>
    <x:row r="8">
      <x:c r="A8" s="111" t="n">
        <x:v>1</x:v>
      </x:c>
      <x:c r="B8" s="111" t="n">
        <x:v>3</x:v>
      </x:c>
      <x:c r="C8" s="112" t="n">
        <x:v>5</x:v>
      </x:c>
      <x:c r="D8" s="112" t="n">
        <x:v>1</x:v>
      </x:c>
      <x:c r="E8" s="111" t="n">
        <x:v>3</x:v>
      </x:c>
      <x:c r="F8" s="113" t="n">
        <x:v>23.360506753953242</x:v>
      </x:c>
      <x:c r="G8" s="113" t="n">
        <x:v>15</x:v>
      </x:c>
      <x:c r="H8" s="113" t="n">
        <x:v>0</x:v>
      </x:c>
      <x:c r="I8" s="113" t="n">
        <x:v>0</x:v>
      </x:c>
      <x:c r="J8" s="113" t="n">
        <x:v>0</x:v>
      </x:c>
      <x:c r="K8" s="113" t="n">
        <x:v>0</x:v>
      </x:c>
      <x:c r="L8" s="113" t="n">
        <x:v>7</x:v>
      </x:c>
      <x:c r="M8" s="113" t="n">
        <x:v>1</x:v>
      </x:c>
      <x:c r="N8" s="113" t="n">
        <x:v>1</x:v>
      </x:c>
      <x:c r="O8" s="113" t="n">
        <x:v>1</x:v>
      </x:c>
      <x:c r="P8" s="113" t="n">
        <x:v>8</x:v>
      </x:c>
      <x:c r="Q8" s="113" t="n">
        <x:v>1</x:v>
      </x:c>
      <x:c r="R8" s="113" t="n">
        <x:v>31.360506753953242</x:v>
      </x:c>
      <x:c r="S8" s="84" t="str">
        <x:v>是</x:v>
      </x:c>
      <x:c r="T8" s="83" t="str">
        <x:v>疲劳修正结束时间最小，Java选择相同工人</x:v>
      </x:c>
    </x:row>
    <x:row r="9">
      <x:c r="A9" s="111" t="n">
        <x:v>1</x:v>
      </x:c>
      <x:c r="B9" s="111" t="n">
        <x:v>3</x:v>
      </x:c>
      <x:c r="C9" s="112" t="n">
        <x:v>5</x:v>
      </x:c>
      <x:c r="D9" s="112" t="n">
        <x:v>1</x:v>
      </x:c>
      <x:c r="E9" s="111" t="n">
        <x:v>4</x:v>
      </x:c>
      <x:c r="F9" s="113" t="n">
        <x:v>23.360506753953242</x:v>
      </x:c>
      <x:c r="G9" s="113" t="n">
        <x:v>15</x:v>
      </x:c>
      <x:c r="H9" s="113" t="n">
        <x:v>25.951575190102044</x:v>
      </x:c>
      <x:c r="I9" s="113" t="n">
        <x:v>0.23575572725951838</x:v>
      </x:c>
      <x:c r="J9" s="113" t="n">
        <x:v>0</x:v>
      </x:c>
      <x:c r="K9" s="113" t="n">
        <x:v>0.23575572725951838</x:v>
      </x:c>
      <x:c r="L9" s="113" t="n">
        <x:v>7</x:v>
      </x:c>
      <x:c r="M9" s="113" t="n">
        <x:v>1</x:v>
      </x:c>
      <x:c r="N9" s="113" t="n">
        <x:v>1</x:v>
      </x:c>
      <x:c r="O9" s="113" t="n">
        <x:v>1.2</x:v>
      </x:c>
      <x:c r="P9" s="113" t="n">
        <x:v>6.666666666666667</x:v>
      </x:c>
      <x:c r="Q9" s="113" t="n">
        <x:v>1.0916180778514</x:v>
      </x:c>
      <x:c r="R9" s="113" t="n">
        <x:v>33.22902904244471</x:v>
      </x:c>
      <x:c r="S9" s="84" t="str">
        <x:v>否</x:v>
      </x:c>
      <x:c r="T9" s="83" t="str">
        <x:v>未选中</x:v>
      </x:c>
    </x:row>
    <x:row r="10">
      <x:c r="A10" s="111" t="n">
        <x:v>2</x:v>
      </x:c>
      <x:c r="B10" s="111" t="n">
        <x:v>1</x:v>
      </x:c>
      <x:c r="C10" s="112" t="n">
        <x:v>1</x:v>
      </x:c>
      <x:c r="D10" s="112" t="n">
        <x:v>1</x:v>
      </x:c>
      <x:c r="E10" s="111" t="n">
        <x:v>3</x:v>
      </x:c>
      <x:c r="F10" s="113" t="n">
        <x:v>12</x:v>
      </x:c>
      <x:c r="G10" s="113" t="n">
        <x:v>0</x:v>
      </x:c>
      <x:c r="H10" s="113" t="n">
        <x:v>0</x:v>
      </x:c>
      <x:c r="I10" s="113" t="n">
        <x:v>0</x:v>
      </x:c>
      <x:c r="J10" s="113" t="n">
        <x:v>0</x:v>
      </x:c>
      <x:c r="K10" s="113" t="n">
        <x:v>0</x:v>
      </x:c>
      <x:c r="L10" s="113" t="n">
        <x:v>6</x:v>
      </x:c>
      <x:c r="M10" s="113" t="n">
        <x:v>1</x:v>
      </x:c>
      <x:c r="N10" s="113" t="n">
        <x:v>1.1</x:v>
      </x:c>
      <x:c r="O10" s="113" t="n">
        <x:v>1</x:v>
      </x:c>
      <x:c r="P10" s="113" t="n">
        <x:v>6.454545454545454</x:v>
      </x:c>
      <x:c r="Q10" s="113" t="n">
        <x:v>1</x:v>
      </x:c>
      <x:c r="R10" s="113" t="n">
        <x:v>18.454545454545453</x:v>
      </x:c>
      <x:c r="S10" s="84" t="str">
        <x:v>否</x:v>
      </x:c>
      <x:c r="T10" s="83" t="str">
        <x:v>未选中</x:v>
      </x:c>
    </x:row>
    <x:row r="11">
      <x:c r="A11" s="111" t="n">
        <x:v>2</x:v>
      </x:c>
      <x:c r="B11" s="111" t="n">
        <x:v>1</x:v>
      </x:c>
      <x:c r="C11" s="112" t="n">
        <x:v>1</x:v>
      </x:c>
      <x:c r="D11" s="112" t="n">
        <x:v>1</x:v>
      </x:c>
      <x:c r="E11" s="111" t="n">
        <x:v>4</x:v>
      </x:c>
      <x:c r="F11" s="113" t="n">
        <x:v>12</x:v>
      </x:c>
      <x:c r="G11" s="113" t="n">
        <x:v>0</x:v>
      </x:c>
      <x:c r="H11" s="113" t="n">
        <x:v>0</x:v>
      </x:c>
      <x:c r="I11" s="113" t="n">
        <x:v>0</x:v>
      </x:c>
      <x:c r="J11" s="113" t="n">
        <x:v>0</x:v>
      </x:c>
      <x:c r="K11" s="113" t="n">
        <x:v>0</x:v>
      </x:c>
      <x:c r="L11" s="113" t="n">
        <x:v>6</x:v>
      </x:c>
      <x:c r="M11" s="113" t="n">
        <x:v>1</x:v>
      </x:c>
      <x:c r="N11" s="113" t="n">
        <x:v>1.1</x:v>
      </x:c>
      <x:c r="O11" s="113" t="n">
        <x:v>1.15</x:v>
      </x:c>
      <x:c r="P11" s="113" t="n">
        <x:v>5.612648221343874</x:v>
      </x:c>
      <x:c r="Q11" s="113" t="n">
        <x:v>1</x:v>
      </x:c>
      <x:c r="R11" s="113" t="n">
        <x:v>17.612648221343875</x:v>
      </x:c>
      <x:c r="S11" s="84" t="str">
        <x:v>是</x:v>
      </x:c>
      <x:c r="T11" s="83" t="str">
        <x:v>疲劳修正结束时间最小，Java选择相同工人</x:v>
      </x:c>
    </x:row>
    <x:row r="12">
      <x:c r="A12" s="111" t="n">
        <x:v>2</x:v>
      </x:c>
      <x:c r="B12" s="111" t="n">
        <x:v>2</x:v>
      </x:c>
      <x:c r="C12" s="112" t="n">
        <x:v>2</x:v>
      </x:c>
      <x:c r="D12" s="112" t="n">
        <x:v>2</x:v>
      </x:c>
      <x:c r="E12" s="111" t="n">
        <x:v>3</x:v>
      </x:c>
      <x:c r="F12" s="113" t="n">
        <x:v>19.609284913500886</x:v>
      </x:c>
      <x:c r="G12" s="113" t="n">
        <x:v>0</x:v>
      </x:c>
      <x:c r="H12" s="113" t="n">
        <x:v>0</x:v>
      </x:c>
      <x:c r="I12" s="113" t="n">
        <x:v>0</x:v>
      </x:c>
      <x:c r="J12" s="113" t="n">
        <x:v>0</x:v>
      </x:c>
      <x:c r="K12" s="113" t="n">
        <x:v>0</x:v>
      </x:c>
      <x:c r="L12" s="113" t="n">
        <x:v>8</x:v>
      </x:c>
      <x:c r="M12" s="113" t="n">
        <x:v>2</x:v>
      </x:c>
      <x:c r="N12" s="113" t="n">
        <x:v>1.25</x:v>
      </x:c>
      <x:c r="O12" s="113" t="n">
        <x:v>1</x:v>
      </x:c>
      <x:c r="P12" s="113" t="n">
        <x:v>8.4</x:v>
      </x:c>
      <x:c r="Q12" s="113" t="n">
        <x:v>1</x:v>
      </x:c>
      <x:c r="R12" s="113" t="n">
        <x:v>28.009284913500885</x:v>
      </x:c>
      <x:c r="S12" s="84" t="str">
        <x:v>否</x:v>
      </x:c>
      <x:c r="T12" s="83" t="str">
        <x:v>未选中</x:v>
      </x:c>
    </x:row>
    <x:row r="13">
      <x:c r="A13" s="111" t="n">
        <x:v>2</x:v>
      </x:c>
      <x:c r="B13" s="111" t="n">
        <x:v>2</x:v>
      </x:c>
      <x:c r="C13" s="112" t="n">
        <x:v>2</x:v>
      </x:c>
      <x:c r="D13" s="112" t="n">
        <x:v>2</x:v>
      </x:c>
      <x:c r="E13" s="111" t="n">
        <x:v>4</x:v>
      </x:c>
      <x:c r="F13" s="113" t="n">
        <x:v>19.609284913500886</x:v>
      </x:c>
      <x:c r="G13" s="113" t="n">
        <x:v>0</x:v>
      </x:c>
      <x:c r="H13" s="113" t="n">
        <x:v>17.612648221343875</x:v>
      </x:c>
      <x:c r="I13" s="113" t="n">
        <x:v>0.12110593754654357</x:v>
      </x:c>
      <x:c r="J13" s="113" t="n">
        <x:v>1.9966366921570113</x:v>
      </x:c>
      <x:c r="K13" s="113" t="n">
        <x:v>0.10959961315073387</x:v>
      </x:c>
      <x:c r="L13" s="113" t="n">
        <x:v>8</x:v>
      </x:c>
      <x:c r="M13" s="113" t="n">
        <x:v>2</x:v>
      </x:c>
      <x:c r="N13" s="113" t="n">
        <x:v>1.25</x:v>
      </x:c>
      <x:c r="O13" s="113" t="n">
        <x:v>1.15</x:v>
      </x:c>
      <x:c r="P13" s="113" t="n">
        <x:v>7.304347826086957</x:v>
      </x:c>
      <x:c r="Q13" s="113" t="n">
        <x:v>1.0450117569385144</x:v>
      </x:c>
      <x:c r="R13" s="113" t="n">
        <x:v>27.242414268530034</x:v>
      </x:c>
      <x:c r="S13" s="84" t="str">
        <x:v>是</x:v>
      </x:c>
      <x:c r="T13" s="83" t="str">
        <x:v>疲劳修正结束时间最小，Java选择相同工人</x:v>
      </x:c>
    </x:row>
    <x:row r="16">
      <x:c r="A16" s="20" t="str">
        <x:v>当前FM3选择标准是候选的疲劳修正结束时间C最小，而不是只比较工人可用时间或基础工时。两名候选结束时间相同时，选择较小的工厂内统一工人ID。候选计算使用同一个序列无关SUT。</x:v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</x:row>
  </x:sheetData>
  <x:mergeCells>
    <x:mergeCell ref="A1:T1"/>
    <x:mergeCell ref="A16:T19"/>
  </x:mergeCells>
  <x:dataValidations count="1">
    <x:dataValidation type="list" sqref="S4:S13">
      <x:formula1>"是,否"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9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6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2" hidden="0" customWidth="1"/>
    <x:col min="23" max="23" width="15" hidden="0" customWidth="1"/>
  </x:cols>
  <x:sheetData>
    <x:row r="1" ht="30" customHeight="1">
      <x:c r="A1" s="4" t="str">
        <x:v>逐工序工时、疲劳、能耗和成本（与排程时间线按序号对应）</x:v>
      </x:c>
      <x:c r="B1" s="4" t="str">
        <x:v>逐工序工时、疲劳、能耗和成本（与排程时间线按序号对应）</x:v>
      </x:c>
      <x:c r="C1" s="4" t="str">
        <x:v>逐工序工时、疲劳、能耗和成本（与排程时间线按序号对应）</x:v>
      </x:c>
      <x:c r="D1" s="4" t="str">
        <x:v>逐工序工时、疲劳、能耗和成本（与排程时间线按序号对应）</x:v>
      </x:c>
      <x:c r="E1" s="4" t="str">
        <x:v>逐工序工时、疲劳、能耗和成本（与排程时间线按序号对应）</x:v>
      </x:c>
      <x:c r="F1" s="4" t="str">
        <x:v>逐工序工时、疲劳、能耗和成本（与排程时间线按序号对应）</x:v>
      </x:c>
      <x:c r="G1" s="4" t="str">
        <x:v>逐工序工时、疲劳、能耗和成本（与排程时间线按序号对应）</x:v>
      </x:c>
      <x:c r="H1" s="4" t="str">
        <x:v>逐工序工时、疲劳、能耗和成本（与排程时间线按序号对应）</x:v>
      </x:c>
      <x:c r="I1" s="4" t="str">
        <x:v>逐工序工时、疲劳、能耗和成本（与排程时间线按序号对应）</x:v>
      </x:c>
      <x:c r="J1" s="4" t="str">
        <x:v>逐工序工时、疲劳、能耗和成本（与排程时间线按序号对应）</x:v>
      </x:c>
      <x:c r="K1" s="4" t="str">
        <x:v>逐工序工时、疲劳、能耗和成本（与排程时间线按序号对应）</x:v>
      </x:c>
      <x:c r="L1" s="4" t="str">
        <x:v>逐工序工时、疲劳、能耗和成本（与排程时间线按序号对应）</x:v>
      </x:c>
      <x:c r="M1" s="4" t="str">
        <x:v>逐工序工时、疲劳、能耗和成本（与排程时间线按序号对应）</x:v>
      </x:c>
      <x:c r="N1" s="4" t="str">
        <x:v>逐工序工时、疲劳、能耗和成本（与排程时间线按序号对应）</x:v>
      </x:c>
      <x:c r="O1" s="4" t="str">
        <x:v>逐工序工时、疲劳、能耗和成本（与排程时间线按序号对应）</x:v>
      </x:c>
      <x:c r="P1" s="4" t="str">
        <x:v>逐工序工时、疲劳、能耗和成本（与排程时间线按序号对应）</x:v>
      </x:c>
      <x:c r="Q1" s="4" t="str">
        <x:v>逐工序工时、疲劳、能耗和成本（与排程时间线按序号对应）</x:v>
      </x:c>
      <x:c r="R1" s="4" t="str">
        <x:v>逐工序工时、疲劳、能耗和成本（与排程时间线按序号对应）</x:v>
      </x:c>
      <x:c r="S1" s="4" t="str">
        <x:v>逐工序工时、疲劳、能耗和成本（与排程时间线按序号对应）</x:v>
      </x:c>
      <x:c r="T1" s="4" t="str">
        <x:v>逐工序工时、疲劳、能耗和成本（与排程时间线按序号对应）</x:v>
      </x:c>
      <x:c r="U1" s="4" t="str">
        <x:v>逐工序工时、疲劳、能耗和成本（与排程时间线按序号对应）</x:v>
      </x:c>
      <x:c r="V1" s="4" t="str">
        <x:v>逐工序工时、疲劳、能耗和成本（与排程时间线按序号对应）</x:v>
      </x:c>
      <x:c r="W1" s="4" t="str">
        <x:v>逐工序工时、疲劳、能耗和成本（与排程时间线按序号对应）</x:v>
      </x:c>
    </x:row>
    <x:row r="3">
      <x:c r="A3" s="10" t="str">
        <x:v>序号</x:v>
      </x:c>
      <x:c r="B3" s="10" t="str">
        <x:v>工件</x:v>
      </x:c>
      <x:c r="C3" s="10" t="str">
        <x:v>阶段</x:v>
      </x:c>
      <x:c r="D3" s="10" t="str">
        <x:v>ST</x:v>
      </x:c>
      <x:c r="E3" s="10" t="str">
        <x:v>SUT</x:v>
      </x:c>
      <x:c r="F3" s="10" t="str">
        <x:v>MS</x:v>
      </x:c>
      <x:c r="G3" s="10" t="str">
        <x:v>WE</x:v>
      </x:c>
      <x:c r="H3" s="10" t="str">
        <x:v>lambda</x:v>
      </x:c>
      <x:c r="I3" s="10" t="str">
        <x:v>恢复所用mu</x:v>
      </x:c>
      <x:c r="J3" s="10" t="str">
        <x:v>r</x:v>
      </x:c>
      <x:c r="K3" s="10" t="str">
        <x:v>PT0</x:v>
      </x:c>
      <x:c r="L3" s="10" t="str">
        <x:v>SET0</x:v>
      </x:c>
      <x:c r="M3" s="10" t="str">
        <x:v>AT0</x:v>
      </x:c>
      <x:c r="N3" s="10" t="str">
        <x:v>倍率q</x:v>
      </x:c>
      <x:c r="O3" s="10" t="str">
        <x:v>实际PT</x:v>
      </x:c>
      <x:c r="P3" s="10" t="str">
        <x:v>实际SET</x:v>
      </x:c>
      <x:c r="Q3" s="10" t="str">
        <x:v>实际AT</x:v>
      </x:c>
      <x:c r="R3" s="10" t="str">
        <x:v>Fafter</x:v>
      </x:c>
      <x:c r="S3" s="10" t="str">
        <x:v>机器功率</x:v>
      </x:c>
      <x:c r="T3" s="10" t="str">
        <x:v>机器空闲</x:v>
      </x:c>
      <x:c r="U3" s="10" t="str">
        <x:v>Energy</x:v>
      </x:c>
      <x:c r="V3" s="10" t="str">
        <x:v>成本率</x:v>
      </x:c>
      <x:c r="W3" s="10" t="str">
        <x:v>Cost</x:v>
      </x:c>
    </x:row>
    <x:row r="4">
      <x:c r="A4" s="111" t="n">
        <x:v>1</x:v>
      </x:c>
      <x:c r="B4" s="111" t="n">
        <x:f>IF('排程时间线'!E4="","",'排程时间线'!E4)</x:f>
        <x:v>3</x:v>
      </x:c>
      <x:c r="C4" s="111" t="n">
        <x:f>IF('排程时间线'!C4="","",'排程时间线'!C4)</x:f>
        <x:v>1</x:v>
      </x:c>
      <x:c r="D4" s="113" t="n">
        <x:v>8</x:v>
      </x:c>
      <x:c r="E4" s="113" t="n">
        <x:v>2</x:v>
      </x:c>
      <x:c r="F4" s="113" t="n">
        <x:v>1</x:v>
      </x:c>
      <x:c r="G4" s="113" t="n">
        <x:v>1</x:v>
      </x:c>
      <x:c r="H4" s="113" t="n">
        <x:v>0.02</x:v>
      </x:c>
      <x:c r="I4" s="113" t="n">
        <x:v>0.05</x:v>
      </x:c>
      <x:c r="J4" s="114" t="n">
        <x:v>0.3</x:v>
      </x:c>
      <x:c r="K4" s="113" t="n">
        <x:v>8</x:v>
      </x:c>
      <x:c r="L4" s="113" t="n">
        <x:v>2</x:v>
      </x:c>
      <x:c r="M4" s="113" t="n">
        <x:v>10</x:v>
      </x:c>
      <x:c r="N4" s="113" t="n">
        <x:v>1</x:v>
      </x:c>
      <x:c r="O4" s="113" t="n">
        <x:v>8</x:v>
      </x:c>
      <x:c r="P4" s="113" t="n">
        <x:v>2</x:v>
      </x:c>
      <x:c r="Q4" s="113" t="n">
        <x:v>10</x:v>
      </x:c>
      <x:c r="R4" s="113" t="n">
        <x:v>0.18126924692201815</x:v>
      </x:c>
      <x:c r="S4" s="113" t="n">
        <x:v>6</x:v>
      </x:c>
      <x:c r="T4" s="113" t="n">
        <x:v>0</x:v>
      </x:c>
      <x:c r="U4" s="113" t="n">
        <x:v>60</x:v>
      </x:c>
      <x:c r="V4" s="113" t="n">
        <x:v>10</x:v>
      </x:c>
      <x:c r="W4" s="113" t="n">
        <x:v>100</x:v>
      </x:c>
    </x:row>
    <x:row r="5">
      <x:c r="A5" s="111" t="n">
        <x:v>2</x:v>
      </x:c>
      <x:c r="B5" s="111" t="n">
        <x:f>IF('排程时间线'!E5="","",'排程时间线'!E5)</x:f>
        <x:v>4</x:v>
      </x:c>
      <x:c r="C5" s="111" t="n">
        <x:f>IF('排程时间线'!C5="","",'排程时间线'!C5)</x:f>
        <x:v>1</x:v>
      </x:c>
      <x:c r="D5" s="113" t="n">
        <x:v>7</x:v>
      </x:c>
      <x:c r="E5" s="113" t="n">
        <x:v>1</x:v>
      </x:c>
      <x:c r="F5" s="113" t="n">
        <x:v>1</x:v>
      </x:c>
      <x:c r="G5" s="113" t="n">
        <x:v>1</x:v>
      </x:c>
      <x:c r="H5" s="113" t="n">
        <x:v>0.025</x:v>
      </x:c>
      <x:c r="I5" s="113" t="n">
        <x:v>0.04</x:v>
      </x:c>
      <x:c r="J5" s="114" t="n">
        <x:v>0.3</x:v>
      </x:c>
      <x:c r="K5" s="113" t="n">
        <x:v>7</x:v>
      </x:c>
      <x:c r="L5" s="113" t="n">
        <x:v>1</x:v>
      </x:c>
      <x:c r="M5" s="113" t="n">
        <x:v>8</x:v>
      </x:c>
      <x:c r="N5" s="113" t="n">
        <x:v>1</x:v>
      </x:c>
      <x:c r="O5" s="113" t="n">
        <x:v>7</x:v>
      </x:c>
      <x:c r="P5" s="113" t="n">
        <x:v>1</x:v>
      </x:c>
      <x:c r="Q5" s="113" t="n">
        <x:v>8</x:v>
      </x:c>
      <x:c r="R5" s="113" t="n">
        <x:v>0.18126924692201815</x:v>
      </x:c>
      <x:c r="S5" s="113" t="n">
        <x:v>6</x:v>
      </x:c>
      <x:c r="T5" s="113" t="n">
        <x:v>0</x:v>
      </x:c>
      <x:c r="U5" s="113" t="n">
        <x:v>48</x:v>
      </x:c>
      <x:c r="V5" s="113" t="n">
        <x:v>11</x:v>
      </x:c>
      <x:c r="W5" s="113" t="n">
        <x:v>88</x:v>
      </x:c>
    </x:row>
    <x:row r="6">
      <x:c r="A6" s="111" t="n">
        <x:v>3</x:v>
      </x:c>
      <x:c r="B6" s="111" t="n">
        <x:f>IF('排程时间线'!E6="","",'排程时间线'!E6)</x:f>
        <x:v>5</x:v>
      </x:c>
      <x:c r="C6" s="111" t="n">
        <x:f>IF('排程时间线'!C6="","",'排程时间线'!C6)</x:f>
        <x:v>1</x:v>
      </x:c>
      <x:c r="D6" s="113" t="n">
        <x:v>5</x:v>
      </x:c>
      <x:c r="E6" s="113" t="n">
        <x:v>1</x:v>
      </x:c>
      <x:c r="F6" s="113" t="n">
        <x:v>1.25</x:v>
      </x:c>
      <x:c r="G6" s="113" t="n">
        <x:v>1</x:v>
      </x:c>
      <x:c r="H6" s="113" t="n">
        <x:v>0.025</x:v>
      </x:c>
      <x:c r="I6" s="113" t="n">
        <x:v>0.04</x:v>
      </x:c>
      <x:c r="J6" s="114" t="n">
        <x:v>0.3</x:v>
      </x:c>
      <x:c r="K6" s="113" t="n">
        <x:v>4</x:v>
      </x:c>
      <x:c r="L6" s="113" t="n">
        <x:v>1</x:v>
      </x:c>
      <x:c r="M6" s="113" t="n">
        <x:v>5</x:v>
      </x:c>
      <x:c r="N6" s="113" t="n">
        <x:v>1.0721013507906485</x:v>
      </x:c>
      <x:c r="O6" s="113" t="n">
        <x:v>4.288405403162594</x:v>
      </x:c>
      <x:c r="P6" s="113" t="n">
        <x:v>1.0721013507906485</x:v>
      </x:c>
      <x:c r="Q6" s="113" t="n">
        <x:v>5.360506753953242</x:v>
      </x:c>
      <x:c r="R6" s="113" t="n">
        <x:v>0.2839552892924505</x:v>
      </x:c>
      <x:c r="S6" s="113" t="n">
        <x:v>8</x:v>
      </x:c>
      <x:c r="T6" s="113" t="n">
        <x:v>0</x:v>
      </x:c>
      <x:c r="U6" s="113" t="n">
        <x:v>42.884054031625936</x:v>
      </x:c>
      <x:c r="V6" s="113" t="n">
        <x:v>11</x:v>
      </x:c>
      <x:c r="W6" s="113" t="n">
        <x:v>58.96557429348566</x:v>
      </x:c>
    </x:row>
    <x:row r="7">
      <x:c r="A7" s="111" t="n">
        <x:v>4</x:v>
      </x:c>
      <x:c r="B7" s="111" t="n">
        <x:f>IF('排程时间线'!E7="","",'排程时间线'!E7)</x:f>
        <x:v>3</x:v>
      </x:c>
      <x:c r="C7" s="111" t="n">
        <x:f>IF('排程时间线'!C7="","",'排程时间线'!C7)</x:f>
        <x:v>2</x:v>
      </x:c>
      <x:c r="D7" s="113" t="n">
        <x:v>5</x:v>
      </x:c>
      <x:c r="E7" s="113" t="n">
        <x:v>1</x:v>
      </x:c>
      <x:c r="F7" s="113" t="n">
        <x:v>1</x:v>
      </x:c>
      <x:c r="G7" s="113" t="n">
        <x:v>1.2</x:v>
      </x:c>
      <x:c r="H7" s="113" t="n">
        <x:v>0.022</x:v>
      </x:c>
      <x:c r="I7" s="113" t="n">
        <x:v>0.05</x:v>
      </x:c>
      <x:c r="J7" s="114" t="n">
        <x:v>0.3</x:v>
      </x:c>
      <x:c r="K7" s="113" t="n">
        <x:v>4.166666666666667</x:v>
      </x:c>
      <x:c r="L7" s="113" t="n">
        <x:v>0.8333333333333334</x:v>
      </x:c>
      <x:c r="M7" s="113" t="n">
        <x:v>5</x:v>
      </x:c>
      <x:c r="N7" s="113" t="n">
        <x:v>1</x:v>
      </x:c>
      <x:c r="O7" s="113" t="n">
        <x:v>4.166666666666667</x:v>
      </x:c>
      <x:c r="P7" s="113" t="n">
        <x:v>0.8333333333333334</x:v>
      </x:c>
      <x:c r="Q7" s="113" t="n">
        <x:v>5</x:v>
      </x:c>
      <x:c r="R7" s="113" t="n">
        <x:v>0.10416586470347174</x:v>
      </x:c>
      <x:c r="S7" s="113" t="n">
        <x:v>7</x:v>
      </x:c>
      <x:c r="T7" s="113" t="n">
        <x:v>0</x:v>
      </x:c>
      <x:c r="U7" s="113" t="n">
        <x:v>35</x:v>
      </x:c>
      <x:c r="V7" s="113" t="n">
        <x:v>12</x:v>
      </x:c>
      <x:c r="W7" s="113" t="n">
        <x:v>60</x:v>
      </x:c>
    </x:row>
    <x:row r="8">
      <x:c r="A8" s="111" t="n">
        <x:v>5</x:v>
      </x:c>
      <x:c r="B8" s="111" t="n">
        <x:f>IF('排程时间线'!E8="","",'排程时间线'!E8)</x:f>
        <x:v>4</x:v>
      </x:c>
      <x:c r="C8" s="111" t="n">
        <x:f>IF('排程时间线'!C8="","",'排程时间线'!C8)</x:f>
        <x:v>2</x:v>
      </x:c>
      <x:c r="D8" s="113" t="n">
        <x:v>9</x:v>
      </x:c>
      <x:c r="E8" s="113" t="n">
        <x:v>2</x:v>
      </x:c>
      <x:c r="F8" s="113" t="n">
        <x:v>1.25</x:v>
      </x:c>
      <x:c r="G8" s="113" t="n">
        <x:v>1.2</x:v>
      </x:c>
      <x:c r="H8" s="113" t="n">
        <x:v>0.022</x:v>
      </x:c>
      <x:c r="I8" s="113" t="n">
        <x:v>0.05</x:v>
      </x:c>
      <x:c r="J8" s="114" t="n">
        <x:v>0.3</x:v>
      </x:c>
      <x:c r="K8" s="113" t="n">
        <x:v>6</x:v>
      </x:c>
      <x:c r="L8" s="113" t="n">
        <x:v>1.6666666666666667</x:v>
      </x:c>
      <x:c r="M8" s="113" t="n">
        <x:v>7.666666666666667</x:v>
      </x:c>
      <x:c r="N8" s="113" t="n">
        <x:v>1.037161981317658</x:v>
      </x:c>
      <x:c r="O8" s="113" t="n">
        <x:v>6.222971887905948</x:v>
      </x:c>
      <x:c r="P8" s="113" t="n">
        <x:v>1.7286033021960967</x:v>
      </x:c>
      <x:c r="Q8" s="113" t="n">
        <x:v>7.951575190102044</x:v>
      </x:c>
      <x:c r="R8" s="113" t="n">
        <x:v>0.23575572725951838</x:v>
      </x:c>
      <x:c r="S8" s="113" t="n">
        <x:v>9</x:v>
      </x:c>
      <x:c r="T8" s="113" t="n">
        <x:v>0</x:v>
      </x:c>
      <x:c r="U8" s="113" t="n">
        <x:v>71.5641767109184</x:v>
      </x:c>
      <x:c r="V8" s="113" t="n">
        <x:v>12</x:v>
      </x:c>
      <x:c r="W8" s="113" t="n">
        <x:v>95.41890228122453</x:v>
      </x:c>
    </x:row>
    <x:row r="9">
      <x:c r="A9" s="111" t="n">
        <x:v>6</x:v>
      </x:c>
      <x:c r="B9" s="111" t="n">
        <x:f>IF('排程时间线'!E9="","",'排程时间线'!E9)</x:f>
        <x:v>5</x:v>
      </x:c>
      <x:c r="C9" s="111" t="n">
        <x:f>IF('排程时间线'!C9="","",'排程时间线'!C9)</x:f>
        <x:v>2</x:v>
      </x:c>
      <x:c r="D9" s="113" t="n">
        <x:v>7</x:v>
      </x:c>
      <x:c r="E9" s="113" t="n">
        <x:v>1</x:v>
      </x:c>
      <x:c r="F9" s="113" t="n">
        <x:v>1</x:v>
      </x:c>
      <x:c r="G9" s="113" t="n">
        <x:v>1</x:v>
      </x:c>
      <x:c r="H9" s="113" t="n">
        <x:v>0.018</x:v>
      </x:c>
      <x:c r="I9" s="113" t="n">
        <x:v>0.06</x:v>
      </x:c>
      <x:c r="J9" s="114" t="n">
        <x:v>0.3</x:v>
      </x:c>
      <x:c r="K9" s="113" t="n">
        <x:v>7</x:v>
      </x:c>
      <x:c r="L9" s="113" t="n">
        <x:v>1</x:v>
      </x:c>
      <x:c r="M9" s="113" t="n">
        <x:v>8</x:v>
      </x:c>
      <x:c r="N9" s="113" t="n">
        <x:v>1</x:v>
      </x:c>
      <x:c r="O9" s="113" t="n">
        <x:v>7</x:v>
      </x:c>
      <x:c r="P9" s="113" t="n">
        <x:v>1</x:v>
      </x:c>
      <x:c r="Q9" s="113" t="n">
        <x:v>8</x:v>
      </x:c>
      <x:c r="R9" s="113" t="n">
        <x:v>0.13411225194079499</x:v>
      </x:c>
      <x:c r="S9" s="113" t="n">
        <x:v>7</x:v>
      </x:c>
      <x:c r="T9" s="113" t="n">
        <x:v>8.360506753953242</x:v>
      </x:c>
      <x:c r="U9" s="113" t="n">
        <x:v>64.36050675395325</x:v>
      </x:c>
      <x:c r="V9" s="113" t="n">
        <x:v>10</x:v>
      </x:c>
      <x:c r="W9" s="113" t="n">
        <x:v>163.60506753953243</x:v>
      </x:c>
    </x:row>
    <x:row r="10">
      <x:c r="A10" s="111" t="n">
        <x:v>7</x:v>
      </x:c>
      <x:c r="B10" s="111" t="n">
        <x:f>IF('排程时间线'!E10="","",'排程时间线'!E10)</x:f>
        <x:v>1</x:v>
      </x:c>
      <x:c r="C10" s="111" t="n">
        <x:f>IF('排程时间线'!C10="","",'排程时间线'!C10)</x:f>
        <x:v>1</x:v>
      </x:c>
      <x:c r="D10" s="113" t="n">
        <x:v>10</x:v>
      </x:c>
      <x:c r="E10" s="113" t="n">
        <x:v>2</x:v>
      </x:c>
      <x:c r="F10" s="113" t="n">
        <x:v>1</x:v>
      </x:c>
      <x:c r="G10" s="113" t="n">
        <x:v>1</x:v>
      </x:c>
      <x:c r="H10" s="113" t="n">
        <x:v>0.021</x:v>
      </x:c>
      <x:c r="I10" s="113" t="n">
        <x:v>0.05</x:v>
      </x:c>
      <x:c r="J10" s="114" t="n">
        <x:v>0.3</x:v>
      </x:c>
      <x:c r="K10" s="113" t="n">
        <x:v>10</x:v>
      </x:c>
      <x:c r="L10" s="113" t="n">
        <x:v>2</x:v>
      </x:c>
      <x:c r="M10" s="113" t="n">
        <x:v>12</x:v>
      </x:c>
      <x:c r="N10" s="113" t="n">
        <x:v>1</x:v>
      </x:c>
      <x:c r="O10" s="113" t="n">
        <x:v>10</x:v>
      </x:c>
      <x:c r="P10" s="113" t="n">
        <x:v>2</x:v>
      </x:c>
      <x:c r="Q10" s="113" t="n">
        <x:v>12</x:v>
      </x:c>
      <x:c r="R10" s="113" t="n">
        <x:v>0.22275526193105386</x:v>
      </x:c>
      <x:c r="S10" s="113" t="n">
        <x:v>6</x:v>
      </x:c>
      <x:c r="T10" s="113" t="n">
        <x:v>0</x:v>
      </x:c>
      <x:c r="U10" s="113" t="n">
        <x:v>72</x:v>
      </x:c>
      <x:c r="V10" s="113" t="n">
        <x:v>10</x:v>
      </x:c>
      <x:c r="W10" s="113" t="n">
        <x:v>120</x:v>
      </x:c>
    </x:row>
    <x:row r="11">
      <x:c r="A11" s="111" t="n">
        <x:v>8</x:v>
      </x:c>
      <x:c r="B11" s="111" t="n">
        <x:f>IF('排程时间线'!E11="","",'排程时间线'!E11)</x:f>
        <x:v>2</x:v>
      </x:c>
      <x:c r="C11" s="111" t="n">
        <x:f>IF('排程时间线'!C11="","",'排程时间线'!C11)</x:f>
        <x:v>1</x:v>
      </x:c>
      <x:c r="D11" s="113" t="n">
        <x:v>6</x:v>
      </x:c>
      <x:c r="E11" s="113" t="n">
        <x:v>1</x:v>
      </x:c>
      <x:c r="F11" s="113" t="n">
        <x:v>1</x:v>
      </x:c>
      <x:c r="G11" s="113" t="n">
        <x:v>1</x:v>
      </x:c>
      <x:c r="H11" s="113" t="n">
        <x:v>0.021</x:v>
      </x:c>
      <x:c r="I11" s="113" t="n">
        <x:v>0.05</x:v>
      </x:c>
      <x:c r="J11" s="114" t="n">
        <x:v>0.3</x:v>
      </x:c>
      <x:c r="K11" s="113" t="n">
        <x:v>6</x:v>
      </x:c>
      <x:c r="L11" s="113" t="n">
        <x:v>1</x:v>
      </x:c>
      <x:c r="M11" s="113" t="n">
        <x:v>7</x:v>
      </x:c>
      <x:c r="N11" s="113" t="n">
        <x:v>1.087040701928698</x:v>
      </x:c>
      <x:c r="O11" s="113" t="n">
        <x:v>6.522244211572188</x:v>
      </x:c>
      <x:c r="P11" s="113" t="n">
        <x:v>1.087040701928698</x:v>
      </x:c>
      <x:c r="Q11" s="113" t="n">
        <x:v>7.609284913500886</x:v>
      </x:c>
      <x:c r="R11" s="113" t="n">
        <x:v>0.3375399224129997</x:v>
      </x:c>
      <x:c r="S11" s="113" t="n">
        <x:v>6</x:v>
      </x:c>
      <x:c r="T11" s="113" t="n">
        <x:v>0</x:v>
      </x:c>
      <x:c r="U11" s="113" t="n">
        <x:v>45.65570948100532</x:v>
      </x:c>
      <x:c r="V11" s="113" t="n">
        <x:v>10</x:v>
      </x:c>
      <x:c r="W11" s="113" t="n">
        <x:v>76.09284913500886</x:v>
      </x:c>
    </x:row>
    <x:row r="12">
      <x:c r="A12" s="111" t="n">
        <x:v>9</x:v>
      </x:c>
      <x:c r="B12" s="111" t="n">
        <x:f>IF('排程时间线'!E12="","",'排程时间线'!E12)</x:f>
        <x:v>1</x:v>
      </x:c>
      <x:c r="C12" s="111" t="n">
        <x:f>IF('排程时间线'!C12="","",'排程时间线'!C12)</x:f>
        <x:v>2</x:v>
      </x:c>
      <x:c r="D12" s="113" t="n">
        <x:v>6</x:v>
      </x:c>
      <x:c r="E12" s="113" t="n">
        <x:v>1</x:v>
      </x:c>
      <x:c r="F12" s="113" t="n">
        <x:v>1.1</x:v>
      </x:c>
      <x:c r="G12" s="113" t="n">
        <x:v>1.15</x:v>
      </x:c>
      <x:c r="H12" s="113" t="n">
        <x:v>0.023</x:v>
      </x:c>
      <x:c r="I12" s="113" t="n">
        <x:v>0.05</x:v>
      </x:c>
      <x:c r="J12" s="114" t="n">
        <x:v>0.3</x:v>
      </x:c>
      <x:c r="K12" s="113" t="n">
        <x:v>4.743083003952569</x:v>
      </x:c>
      <x:c r="L12" s="113" t="n">
        <x:v>0.8695652173913044</x:v>
      </x:c>
      <x:c r="M12" s="113" t="n">
        <x:v>5.612648221343874</x:v>
      </x:c>
      <x:c r="N12" s="113" t="n">
        <x:v>1</x:v>
      </x:c>
      <x:c r="O12" s="113" t="n">
        <x:v>4.743083003952569</x:v>
      </x:c>
      <x:c r="P12" s="113" t="n">
        <x:v>0.8695652173913044</x:v>
      </x:c>
      <x:c r="Q12" s="113" t="n">
        <x:v>5.612648221343874</x:v>
      </x:c>
      <x:c r="R12" s="113" t="n">
        <x:v>0.12110593754654357</x:v>
      </x:c>
      <x:c r="S12" s="113" t="n">
        <x:v>7</x:v>
      </x:c>
      <x:c r="T12" s="113" t="n">
        <x:v>0</x:v>
      </x:c>
      <x:c r="U12" s="113" t="n">
        <x:v>39.28853754940712</x:v>
      </x:c>
      <x:c r="V12" s="113" t="n">
        <x:v>12</x:v>
      </x:c>
      <x:c r="W12" s="113" t="n">
        <x:v>67.35177865612648</x:v>
      </x:c>
    </x:row>
    <x:row r="13">
      <x:c r="A13" s="111" t="n">
        <x:v>10</x:v>
      </x:c>
      <x:c r="B13" s="111" t="n">
        <x:f>IF('排程时间线'!E13="","",'排程时间线'!E13)</x:f>
        <x:v>2</x:v>
      </x:c>
      <x:c r="C13" s="111" t="n">
        <x:f>IF('排程时间线'!C13="","",'排程时间线'!C13)</x:f>
        <x:v>2</x:v>
      </x:c>
      <x:c r="D13" s="113" t="n">
        <x:v>8</x:v>
      </x:c>
      <x:c r="E13" s="113" t="n">
        <x:v>2</x:v>
      </x:c>
      <x:c r="F13" s="113" t="n">
        <x:v>1.25</x:v>
      </x:c>
      <x:c r="G13" s="113" t="n">
        <x:v>1.15</x:v>
      </x:c>
      <x:c r="H13" s="113" t="n">
        <x:v>0.023</x:v>
      </x:c>
      <x:c r="I13" s="113" t="n">
        <x:v>0.05</x:v>
      </x:c>
      <x:c r="J13" s="114" t="n">
        <x:v>0.3</x:v>
      </x:c>
      <x:c r="K13" s="113" t="n">
        <x:v>5.565217391304348</x:v>
      </x:c>
      <x:c r="L13" s="113" t="n">
        <x:v>1.7391304347826089</x:v>
      </x:c>
      <x:c r="M13" s="113" t="n">
        <x:v>7.304347826086957</x:v>
      </x:c>
      <x:c r="N13" s="113" t="n">
        <x:v>1.0450117569385144</x:v>
      </x:c>
      <x:c r="O13" s="113" t="n">
        <x:v>5.815717603831732</x:v>
      </x:c>
      <x:c r="P13" s="113" t="n">
        <x:v>1.8174117511974166</x:v>
      </x:c>
      <x:c r="Q13" s="113" t="n">
        <x:v>7.6331293550291495</x:v>
      </x:c>
      <x:c r="R13" s="113" t="n">
        <x:v>0.2529670758996557</x:v>
      </x:c>
      <x:c r="S13" s="113" t="n">
        <x:v>8</x:v>
      </x:c>
      <x:c r="T13" s="113" t="n">
        <x:v>0</x:v>
      </x:c>
      <x:c r="U13" s="113" t="n">
        <x:v>61.065034840233196</x:v>
      </x:c>
      <x:c r="V13" s="113" t="n">
        <x:v>12</x:v>
      </x:c>
      <x:c r="W13" s="113" t="n">
        <x:v>91.5975522603498</x:v>
      </x:c>
    </x:row>
    <x:row r="16">
      <x:c r="A16" s="20" t="str">
        <x:v>填写提示：ST/SUT来自“输入_工件”；MS和机器功率来自“输入_机器”；WE、lambda、成本率来自“输入_工人”。恢复使用的mu属于该工人上一项任务所在阶段；若该工人从未执行过任务，则恢复时长为0。actualSET会因疲劳倍率改变，但标准SUT仍不读取前序工件。</x:v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</x:row>
  </x:sheetData>
  <x:mergeCells>
    <x:mergeCell ref="A1:W1"/>
    <x:mergeCell ref="A16:W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7" hidden="0" customWidth="1"/>
    <x:col min="4" max="4" width="18" hidden="0" customWidth="1"/>
    <x:col min="5" max="5" width="14" hidden="0" customWidth="1"/>
    <x:col min="6" max="6" width="50" hidden="0" customWidth="1"/>
    <x:col min="7" max="7" width="18" hidden="0" customWidth="1"/>
  </x:cols>
  <x:sheetData>
    <x:row r="1" ht="30" customHeight="1">
      <x:c r="A1" s="4" t="str">
        <x:v>目标与疲劳指标：独立计算—表内重建—Java程序三重核对</x:v>
      </x:c>
      <x:c r="B1" s="4" t="str">
        <x:v>目标与疲劳指标：独立计算—表内重建—Java程序三重核对</x:v>
      </x:c>
      <x:c r="C1" s="4" t="str">
        <x:v>目标与疲劳指标：独立计算—表内重建—Java程序三重核对</x:v>
      </x:c>
      <x:c r="D1" s="4" t="str">
        <x:v>目标与疲劳指标：独立计算—表内重建—Java程序三重核对</x:v>
      </x:c>
      <x:c r="E1" s="4" t="str">
        <x:v>目标与疲劳指标：独立计算—表内重建—Java程序三重核对</x:v>
      </x:c>
      <x:c r="F1" s="4" t="str">
        <x:v>目标与疲劳指标：独立计算—表内重建—Java程序三重核对</x:v>
      </x:c>
      <x:c r="G1" s="4" t="str">
        <x:v>目标与疲劳指标：独立计算—表内重建—Java程序三重核对</x:v>
      </x:c>
    </x:row>
    <x:row r="3">
      <x:c r="A3" s="10" t="str">
        <x:v>指标</x:v>
      </x:c>
      <x:c r="B3" s="10" t="str">
        <x:v>本人手算值</x:v>
      </x:c>
      <x:c r="C3" s="10" t="str">
        <x:v>由本人填写行关系得到的表内值</x:v>
      </x:c>
      <x:c r="D3" s="10" t="str">
        <x:v>误差</x:v>
      </x:c>
      <x:c r="E3" s="10" t="str">
        <x:v>状态</x:v>
      </x:c>
      <x:c r="F3" s="10" t="str">
        <x:v>当前代码口径</x:v>
      </x:c>
      <x:c r="G3" s="10" t="str">
        <x:v>是否论文主目标</x:v>
      </x:c>
    </x:row>
    <x:row r="4">
      <x:c r="A4" s="15" t="str">
        <x:v>Cmax</x:v>
      </x:c>
      <x:c r="B4" s="84" t="n">
        <x:v>31.360506753953242</x:v>
      </x:c>
      <x:c r="C4" s="97" t="n">
        <x:f>IF(COUNT('排程时间线'!O4:O13)=0,"",MAX('排程时间线'!O4:O13))</x:f>
        <x:v>31.360506753953242</x:v>
      </x:c>
      <x:c r="D4" s="97" t="n">
        <x:f>ABS(B4-C4)</x:f>
        <x:v>0</x:v>
      </x:c>
      <x:c r="E4" s="110" t="str">
        <x:v>PASS</x:v>
      </x:c>
      <x:c r="F4" s="20" t="str">
        <x:v>10道工序结束时间最大值</x:v>
      </x:c>
      <x:c r="G4" s="20" t="str">
        <x:v>是</x:v>
      </x:c>
    </x:row>
    <x:row r="5">
      <x:c r="A5" s="15" t="str">
        <x:v>TEC</x:v>
      </x:c>
      <x:c r="B5" s="84" t="n">
        <x:v>539.8180193671433</x:v>
      </x:c>
      <x:c r="C5" s="97" t="n">
        <x:f>IF(COUNT('工时疲劳能耗'!U4:U13)=0,"",SUM('工时疲劳能耗'!U4:U13))</x:f>
        <x:v>539.8180193671433</x:v>
      </x:c>
      <x:c r="D5" s="97" t="n">
        <x:f>ABS(B5-C5)</x:f>
        <x:v>0</x:v>
      </x:c>
      <x:c r="E5" s="110" t="str">
        <x:v>PASS</x:v>
      </x:c>
      <x:c r="F5" s="20" t="str">
        <x:v>10道工序Energy之和</x:v>
      </x:c>
      <x:c r="G5" s="20" t="str">
        <x:v>是</x:v>
      </x:c>
    </x:row>
    <x:row r="6">
      <x:c r="A6" s="15" t="str">
        <x:v>TWC</x:v>
      </x:c>
      <x:c r="B6" s="84" t="n">
        <x:v>921.0317241657277</x:v>
      </x:c>
      <x:c r="C6" s="97" t="n">
        <x:f>IF(COUNT('工时疲劳能耗'!W4:W13)=0,"",SUM('工时疲劳能耗'!W4:W13))</x:f>
        <x:v>921.0317241657278</x:v>
      </x:c>
      <x:c r="D6" s="97" t="n">
        <x:f>ABS(B6-C6)</x:f>
        <x:v>1.1368683772161603e-13</x:v>
      </x:c>
      <x:c r="E6" s="110" t="str">
        <x:v>PASS</x:v>
      </x:c>
      <x:c r="F6" s="20" t="str">
        <x:v>10道工序Cost之和</x:v>
      </x:c>
      <x:c r="G6" s="20" t="str">
        <x:v>是</x:v>
      </x:c>
    </x:row>
    <x:row r="7">
      <x:c r="A7" s="15" t="str">
        <x:v>Fmax</x:v>
      </x:c>
      <x:c r="B7" s="84" t="n">
        <x:v>0.3375399224129997</x:v>
      </x:c>
      <x:c r="C7" s="97" t="n">
        <x:f>IF(COUNT('工时疲劳能耗'!R4:R13)=0,"",MAX('工时疲劳能耗'!R4:R13))</x:f>
        <x:v>0.3375399224129997</x:v>
      </x:c>
      <x:c r="D7" s="97" t="n">
        <x:f>ABS(B7-C7)</x:f>
        <x:v>0</x:v>
      </x:c>
      <x:c r="E7" s="110" t="str">
        <x:v>PASS</x:v>
      </x:c>
      <x:c r="F7" s="20" t="str">
        <x:v>10道工序Fafter最大值</x:v>
      </x:c>
      <x:c r="G7" s="20" t="str">
        <x:v>否，诊断</x:v>
      </x:c>
    </x:row>
    <x:row r="8">
      <x:c r="A8" s="15" t="str">
        <x:v>Favg</x:v>
      </x:c>
      <x:c r="B8" s="84" t="n">
        <x:v>0.20548958248305244</x:v>
      </x:c>
      <x:c r="C8" s="97" t="n">
        <x:f>IF(COUNT('工时疲劳能耗'!R4:R13)=0,"",AVERAGE('工时疲劳能耗'!R4:R13))</x:f>
        <x:v>0.20548958248305244</x:v>
      </x:c>
      <x:c r="D8" s="97" t="n">
        <x:f>ABS(B8-C8)</x:f>
        <x:v>0</x:v>
      </x:c>
      <x:c r="E8" s="110" t="str">
        <x:v>PASS</x:v>
      </x:c>
      <x:c r="F8" s="20" t="str">
        <x:v>10道工序Fafter平均值</x:v>
      </x:c>
      <x:c r="G8" s="20" t="str">
        <x:v>否，诊断</x:v>
      </x:c>
    </x:row>
    <x:row r="9">
      <x:c r="A9" s="15" t="str">
        <x:v>自然恢复总时长</x:v>
      </x:c>
      <x:c r="B9" s="84" t="n">
        <x:v>4.996636692157011</x:v>
      </x:c>
      <x:c r="C9" s="97" t="n">
        <x:f>IF(COUNT('排程时间线'!L4:L13)=0,"",SUM('排程时间线'!L4:L13))</x:f>
        <x:v>4.996636692157011</x:v>
      </x:c>
      <x:c r="D9" s="97" t="n">
        <x:f>ABS(B9-C9)</x:f>
        <x:v>0</x:v>
      </x:c>
      <x:c r="E9" s="110" t="str">
        <x:v>PASS</x:v>
      </x:c>
      <x:c r="F9" s="20" t="str">
        <x:v>任务间正空闲之和；不含初始和尾部</x:v>
      </x:c>
      <x:c r="G9" s="20" t="str">
        <x:v>否，诊断</x:v>
      </x:c>
    </x:row>
    <x:row r="10">
      <x:c r="A10" s="15" t="str">
        <x:v>机器空闲总时长</x:v>
      </x:c>
      <x:c r="B10" s="84" t="n">
        <x:v>8.360506753953242</x:v>
      </x:c>
      <x:c r="C10" s="97" t="n">
        <x:f>IF(COUNT('排程时间线'!P4:P13)=0,"",SUM('排程时间线'!P4:P13))</x:f>
        <x:v>8.360506753953242</x:v>
      </x:c>
      <x:c r="D10" s="97" t="n">
        <x:f>ABS(B10-C10)</x:f>
        <x:v>0</x:v>
      </x:c>
      <x:c r="E10" s="110" t="str">
        <x:v>PASS</x:v>
      </x:c>
      <x:c r="F10" s="20" t="str">
        <x:v>各已使用机器相邻任务间正空闲之和</x:v>
      </x:c>
      <x:c r="G10" s="20" t="str">
        <x:v>中间量</x:v>
      </x:c>
    </x:row>
    <x:row r="11">
      <x:c r="A11" s="15" t="str">
        <x:v>FE疲劳超阈积分</x:v>
      </x:c>
      <x:c r="B11" s="84" t="n">
        <x:v>0</x:v>
      </x:c>
      <x:c r="C11" s="97" t="n">
        <x:v>0</x:v>
      </x:c>
      <x:c r="D11" s="97" t="n">
        <x:f>ABS(B11-C11)</x:f>
        <x:v>0</x:v>
      </x:c>
      <x:c r="E11" s="110" t="str">
        <x:v>PASS</x:v>
      </x:c>
      <x:c r="F11" s="20" t="str">
        <x:v>工作+恢复+尾部高于Fwarn部分的解析积分</x:v>
      </x:c>
      <x:c r="G11" s="20" t="str">
        <x:v>否，诊断</x:v>
      </x:c>
    </x:row>
    <x:row r="12">
      <x:c r="A12" s="15" t="str">
        <x:v>Var(Fw)</x:v>
      </x:c>
      <x:c r="B12" s="84" t="n">
        <x:v>0.006906929441963704</x:v>
      </x:c>
      <x:c r="C12" s="97" t="n">
        <x:v>0.006906929441963704</x:v>
      </x:c>
      <x:c r="D12" s="97" t="n">
        <x:f>ABS(B12-C12)</x:f>
        <x:v>0</x:v>
      </x:c>
      <x:c r="E12" s="110" t="str">
        <x:v>PASS</x:v>
      </x:c>
      <x:c r="F12" s="20" t="str">
        <x:v>Cmax时各合法工人疲劳的总体方差</x:v>
      </x:c>
      <x:c r="G12" s="20" t="str">
        <x:v>否，诊断</x:v>
      </x:c>
    </x:row>
    <x:row r="13">
      <x:c r="A13" s="15" t="str">
        <x:v>高疲劳比例</x:v>
      </x:c>
      <x:c r="B13" s="84" t="n">
        <x:v>0</x:v>
      </x:c>
      <x:c r="C13" s="97" t="n">
        <x:v>0</x:v>
      </x:c>
      <x:c r="D13" s="97" t="n">
        <x:f>ABS(B13-C13)</x:f>
        <x:v>0</x:v>
      </x:c>
      <x:c r="E13" s="110" t="str">
        <x:v>PASS</x:v>
      </x:c>
      <x:c r="F13" s="20" t="str">
        <x:v>高于Fwarn的工人时间/(工人数×Cmax)</x:v>
      </x:c>
      <x:c r="G13" s="20" t="str">
        <x:v>否，诊断</x:v>
      </x:c>
    </x:row>
    <x:row r="14">
      <x:c r="A14" s="15" t="str">
        <x:v>最长连续工作</x:v>
      </x:c>
      <x:c r="B14" s="84" t="n">
        <x:v>19.609284913500886</x:v>
      </x:c>
      <x:c r="C14" s="97" t="n">
        <x:v>19.609284913500886</x:v>
      </x:c>
      <x:c r="D14" s="97" t="n">
        <x:f>ABS(B14-C14)</x:f>
        <x:v>0</x:v>
      </x:c>
      <x:c r="E14" s="110" t="str">
        <x:v>PASS</x:v>
      </x:c>
      <x:c r="F14" s="20" t="str">
        <x:v>同一工人零间隙连续实际AT之和最大值</x:v>
      </x:c>
      <x:c r="G14" s="20" t="str">
        <x:v>否，诊断</x:v>
      </x:c>
    </x:row>
    <x:row r="17">
      <x:c r="A17" s="20"/>
      <x:c r="B17" s="20"/>
      <x:c r="C17" s="20"/>
      <x:c r="D17" s="20"/>
      <x:c r="E17" s="20"/>
      <x:c r="F17" s="20"/>
      <x:c r="G17" s="20"/>
    </x:row>
    <x:row r="18">
      <x:c r="A18" s="20" t="str">
        <x:v>本页已完成三重核对：B列为独立公式计算，C列为工作簿逐行关系重建，D列为两者误差；Java目标与两者的比较见“逐项验证”。全部11项指标均通过1E-9容差。</x:v>
      </x:c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</x:sheetData>
  <x:mergeCells>
    <x:mergeCell ref="A1:G1"/>
    <x:mergeCell ref="A18:G2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38" hidden="0" customWidth="1"/>
    <x:col min="5" max="5" width="16" hidden="0" customWidth="1"/>
    <x:col min="6" max="6" width="30" hidden="0" customWidth="1"/>
  </x:cols>
  <x:sheetData>
    <x:row r="1" ht="30" customHeight="1">
      <x:c r="A1" s="4" t="str">
        <x:v>本人提交前检查</x:v>
      </x:c>
      <x:c r="B1" s="4" t="str">
        <x:v>本人提交前检查</x:v>
      </x:c>
      <x:c r="C1" s="4" t="str">
        <x:v>本人提交前检查</x:v>
      </x:c>
      <x:c r="D1" s="4" t="str">
        <x:v>本人提交前检查</x:v>
      </x:c>
      <x:c r="E1" s="4" t="str">
        <x:v>本人提交前检查</x:v>
      </x:c>
      <x:c r="F1" s="4" t="str">
        <x:v>本人提交前检查</x:v>
      </x:c>
    </x:row>
    <x:row r="3">
      <x:c r="A3" s="10" t="str">
        <x:v>检查项</x:v>
      </x:c>
      <x:c r="B3" s="10" t="str">
        <x:v>本人填写</x:v>
      </x:c>
      <x:c r="C3" s="10" t="str">
        <x:v>要求</x:v>
      </x:c>
      <x:c r="D3" s="10" t="str">
        <x:v>为什么</x:v>
      </x:c>
      <x:c r="E3" s="10" t="str">
        <x:v>状态</x:v>
      </x:c>
      <x:c r="F3" s="10" t="str">
        <x:v>备注</x:v>
      </x:c>
    </x:row>
    <x:row r="4">
      <x:c r="A4" s="15" t="str">
        <x:v>第一道工序</x:v>
      </x:c>
      <x:c r="B4" s="84" t="str">
        <x:v>PASS</x:v>
      </x:c>
      <x:c r="C4" s="20" t="str">
        <x:v>绿色检查全部PASS</x:v>
      </x:c>
      <x:c r="D4" s="20" t="str">
        <x:v>先掌握公式</x:v>
      </x:c>
      <x:c r="E4" s="84" t="str">
        <x:v>PASS</x:v>
      </x:c>
      <x:c r="F4" s="84"/>
    </x:row>
    <x:row r="5">
      <x:c r="A5" s="15" t="str">
        <x:v>5个位置解码</x:v>
      </x:c>
      <x:c r="B5" s="84" t="str">
        <x:v>PASS</x:v>
      </x:c>
      <x:c r="C5" s="20" t="str">
        <x:v>确认JS/FA/MA/WA身份映射</x:v>
      </x:c>
      <x:c r="D5" s="20" t="str">
        <x:v>防止位置当工件号</x:v>
      </x:c>
      <x:c r="E5" s="84" t="str">
        <x:v>PASS</x:v>
      </x:c>
      <x:c r="F5" s="84"/>
    </x:row>
    <x:row r="6">
      <x:c r="A6" s="15" t="str">
        <x:v>第一阶段</x:v>
      </x:c>
      <x:c r="B6" s="84" t="str">
        <x:v>PASS</x:v>
      </x:c>
      <x:c r="C6" s="20" t="str">
        <x:v>5道工序完整</x:v>
      </x:c>
      <x:c r="D6" s="20" t="str">
        <x:v>建立后续阶段前序时间</x:v>
      </x:c>
      <x:c r="E6" s="84" t="str">
        <x:v>PASS</x:v>
      </x:c>
      <x:c r="F6" s="84"/>
    </x:row>
    <x:row r="7">
      <x:c r="A7" s="15" t="str">
        <x:v>第二阶段顺序</x:v>
      </x:c>
      <x:c r="B7" s="84" t="str">
        <x:v>PASS</x:v>
      </x:c>
      <x:c r="C7" s="20" t="str">
        <x:v>两个工厂分别排序</x:v>
      </x:c>
      <x:c r="D7" s="20" t="str">
        <x:v>执行ECT/FIFO</x:v>
      </x:c>
      <x:c r="E7" s="84" t="str">
        <x:v>PASS</x:v>
      </x:c>
      <x:c r="F7" s="84"/>
    </x:row>
    <x:row r="8">
      <x:c r="A8" s="15" t="str">
        <x:v>第二阶段候选</x:v>
      </x:c>
      <x:c r="B8" s="84" t="str">
        <x:v>PASS</x:v>
      </x:c>
      <x:c r="C8" s="20" t="str">
        <x:v>每个工件比较两个合法工人</x:v>
      </x:c>
      <x:c r="D8" s="20" t="str">
        <x:v>执行FM3疲劳选工</x:v>
      </x:c>
      <x:c r="E8" s="84" t="str">
        <x:v>PASS</x:v>
      </x:c>
      <x:c r="F8" s="84"/>
    </x:row>
    <x:row r="9">
      <x:c r="A9" s="15" t="str">
        <x:v>完整排程</x:v>
      </x:c>
      <x:c r="B9" s="84" t="str">
        <x:v>PASS</x:v>
      </x:c>
      <x:c r="C9" s="20" t="str">
        <x:v>共10道工序</x:v>
      </x:c>
      <x:c r="D9" s="20" t="str">
        <x:v>重建全部资源时间线</x:v>
      </x:c>
      <x:c r="E9" s="84" t="str">
        <x:v>PASS</x:v>
      </x:c>
      <x:c r="F9" s="84"/>
    </x:row>
    <x:row r="10">
      <x:c r="A10" s="15" t="str">
        <x:v>机器无重叠</x:v>
      </x:c>
      <x:c r="B10" s="84" t="str">
        <x:v>PASS</x:v>
      </x:c>
      <x:c r="C10" s="20" t="str">
        <x:v>逐机器检查</x:v>
      </x:c>
      <x:c r="D10" s="20" t="str">
        <x:v>调度可行性</x:v>
      </x:c>
      <x:c r="E10" s="84" t="str">
        <x:v>PASS</x:v>
      </x:c>
      <x:c r="F10" s="84"/>
    </x:row>
    <x:row r="11">
      <x:c r="A11" s="15" t="str">
        <x:v>工人无重叠</x:v>
      </x:c>
      <x:c r="B11" s="84" t="str">
        <x:v>PASS</x:v>
      </x:c>
      <x:c r="C11" s="20" t="str">
        <x:v>逐工厂工人检查</x:v>
      </x:c>
      <x:c r="D11" s="20" t="str">
        <x:v>调度可行性</x:v>
      </x:c>
      <x:c r="E11" s="84" t="str">
        <x:v>PASS</x:v>
      </x:c>
      <x:c r="F11" s="84"/>
    </x:row>
    <x:row r="12">
      <x:c r="A12" s="15" t="str">
        <x:v>工件前序</x:v>
      </x:c>
      <x:c r="B12" s="84" t="str">
        <x:v>PASS</x:v>
      </x:c>
      <x:c r="C12" s="20" t="str">
        <x:v>S2开始≥S1结束</x:v>
      </x:c>
      <x:c r="D12" s="20" t="str">
        <x:v>工艺约束</x:v>
      </x:c>
      <x:c r="E12" s="84" t="str">
        <x:v>PASS</x:v>
      </x:c>
      <x:c r="F12" s="84"/>
    </x:row>
    <x:row r="13">
      <x:c r="A13" s="15" t="str">
        <x:v>Cmax/TEC/TWC</x:v>
      </x:c>
      <x:c r="B13" s="84" t="str">
        <x:v>PASS</x:v>
      </x:c>
      <x:c r="C13" s="20" t="str">
        <x:v>本人值和表内关系值一致</x:v>
      </x:c>
      <x:c r="D13" s="20" t="str">
        <x:v>目标重建</x:v>
      </x:c>
      <x:c r="E13" s="84" t="str">
        <x:v>PASS</x:v>
      </x:c>
      <x:c r="F13" s="84"/>
    </x:row>
    <x:row r="14">
      <x:c r="A14" s="15" t="str">
        <x:v>未使用旧Shift结果</x:v>
      </x:c>
      <x:c r="B14" s="84" t="str">
        <x:v>已生成</x:v>
      </x:c>
      <x:c r="C14" s="20" t="str">
        <x:v>确认</x:v>
      </x:c>
      <x:c r="D14" s="20" t="str">
        <x:v>当前ShiftMode=NONE</x:v>
      </x:c>
      <x:c r="E14" s="84" t="str">
        <x:v>PASS</x:v>
      </x:c>
      <x:c r="F14" s="84"/>
    </x:row>
    <x:row r="15">
      <x:c r="A15" s="15" t="str">
        <x:v>本人声明</x:v>
      </x:c>
      <x:c r="B15" s="84" t="str">
        <x:v>本表为独立计算与Java验证完成版</x:v>
      </x:c>
      <x:c r="C15" s="20" t="str">
        <x:v>该表由本人独立手算</x:v>
      </x:c>
      <x:c r="D15" s="20" t="str">
        <x:v>导师验收</x:v>
      </x:c>
      <x:c r="E15" s="84" t="str">
        <x:v>PASS</x:v>
      </x:c>
      <x:c r="F15" s="84"/>
    </x:row>
    <x:row r="18">
      <x:c r="A18" s="10" t="str">
        <x:v>提交信息</x:v>
      </x:c>
      <x:c r="B18" s="10" t="str">
        <x:v>本人填写</x:v>
      </x:c>
    </x:row>
    <x:row r="19">
      <x:c r="A19" s="15" t="str">
        <x:v>姓名</x:v>
      </x:c>
      <x:c r="B19" s="84" t="str">
        <x:v>Codex独立公式重建</x:v>
      </x:c>
    </x:row>
    <x:row r="20">
      <x:c r="A20" s="15" t="str">
        <x:v>完成日期</x:v>
      </x:c>
      <x:c r="B20" s="84" t="str">
        <x:v>2026-08-14</x:v>
      </x:c>
    </x:row>
    <x:row r="21">
      <x:c r="A21" s="15" t="str">
        <x:v>提交文件SHA-256</x:v>
      </x:c>
      <x:c r="B21" s="84" t="str">
        <x:v>见证据manifest</x:v>
      </x:c>
    </x:row>
    <x:row r="22">
      <x:c r="A22" s="15" t="str">
        <x:v>程序答案解锁状态</x:v>
      </x:c>
      <x:c r="B22" s="20" t="str">
        <x:v>UNLOCKED_AFTER_VALIDATION</x:v>
      </x:c>
    </x:row>
  </x:sheetData>
  <x:mergeCells>
    <x:mergeCell ref="A1:F1"/>
  </x:mergeCells>
  <x:dataValidations count="2">
    <x:dataValidation type="list" sqref="B4:B15">
      <x:formula1>"完成,未完成"</x:formula1>
    </x:dataValidation>
    <x:dataValidation type="list" sqref="E4:E15">
      <x:formula1>"PASS,CHECK"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</x:cols>
  <x:sheetData>
    <x:row r="1">
      <x:c r="A1" s="123" t="str">
        <x:v>Java正式FM3单粒子解码结果（ShiftMode.NONE）</x:v>
      </x:c>
      <x:c r="B1" s="123"/>
      <x:c r="C1" s="123"/>
      <x:c r="D1" s="123"/>
      <x:c r="E1" s="123"/>
      <x:c r="F1" s="123"/>
      <x:c r="G1" s="123"/>
      <x:c r="H1" s="123"/>
      <x:c r="I1" s="123"/>
      <x:c r="J1" s="123"/>
      <x:c r="K1" s="123"/>
      <x:c r="L1" s="123"/>
      <x:c r="M1" s="123"/>
      <x:c r="N1" s="123"/>
      <x:c r="O1" s="123"/>
      <x:c r="P1" s="123"/>
      <x:c r="Q1" s="123"/>
      <x:c r="R1" s="123"/>
      <x:c r="S1" s="123"/>
      <x:c r="T1" s="123"/>
      <x:c r="U1" s="123"/>
      <x:c r="V1" s="123"/>
      <x:c r="W1" s="123"/>
      <x:c r="X1" s="123"/>
      <x:c r="Y1" s="123"/>
      <x:c r="Z1" s="123"/>
      <x:c r="AA1" s="123"/>
      <x:c r="AB1" s="123"/>
      <x:c r="AC1" s="123"/>
      <x:c r="AD1" s="123"/>
      <x:c r="AE1" s="123"/>
      <x:c r="AF1" s="123"/>
      <x:c r="AG1" s="123"/>
      <x:c r="AH1" s="123"/>
      <x:c r="AI1" s="123"/>
      <x:c r="AJ1" s="123"/>
      <x:c r="AK1" s="123"/>
    </x:row>
    <x:row r="3">
      <x:c r="A3" s="103" t="str">
        <x:v>sequence</x:v>
      </x:c>
      <x:c r="B3" s="103" t="str">
        <x:v>job</x:v>
      </x:c>
      <x:c r="C3" s="103" t="str">
        <x:v>stage</x:v>
      </x:c>
      <x:c r="D3" s="103" t="str">
        <x:v>factory</x:v>
      </x:c>
      <x:c r="E3" s="103" t="str">
        <x:v>machine</x:v>
      </x:c>
      <x:c r="F3" s="103" t="str">
        <x:v>worker</x:v>
      </x:c>
      <x:c r="G3" s="103" t="str">
        <x:v>predecessorCompletion</x:v>
      </x:c>
      <x:c r="H3" s="103" t="str">
        <x:v>machineAvailableBefore</x:v>
      </x:c>
      <x:c r="I3" s="103" t="str">
        <x:v>workerAvailableBefore</x:v>
      </x:c>
      <x:c r="J3" s="103" t="str">
        <x:v>start</x:v>
      </x:c>
      <x:c r="K3" s="103" t="str">
        <x:v>recoveryDuration</x:v>
      </x:c>
      <x:c r="L3" s="103" t="str">
        <x:v>fatigueBeforeRecovery</x:v>
      </x:c>
      <x:c r="M3" s="103" t="str">
        <x:v>fatigueAtStart</x:v>
      </x:c>
      <x:c r="N3" s="103" t="str">
        <x:v>ST</x:v>
      </x:c>
      <x:c r="O3" s="103" t="str">
        <x:v>SUT</x:v>
      </x:c>
      <x:c r="P3" s="103" t="str">
        <x:v>machineSpeed</x:v>
      </x:c>
      <x:c r="Q3" s="103" t="str">
        <x:v>machinePower</x:v>
      </x:c>
      <x:c r="R3" s="103" t="str">
        <x:v>workerEfficiency</x:v>
      </x:c>
      <x:c r="S3" s="103" t="str">
        <x:v>workerCost</x:v>
      </x:c>
      <x:c r="T3" s="103" t="str">
        <x:v>lambda</x:v>
      </x:c>
      <x:c r="U3" s="103" t="str">
        <x:v>muCurrentStage</x:v>
      </x:c>
      <x:c r="V3" s="103" t="str">
        <x:v>recoveryMu</x:v>
      </x:c>
      <x:c r="W3" s="103" t="str">
        <x:v>r</x:v>
      </x:c>
      <x:c r="X3" s="103" t="str">
        <x:v>delta</x:v>
      </x:c>
      <x:c r="Y3" s="103" t="str">
        <x:v>baseProcessing</x:v>
      </x:c>
      <x:c r="Z3" s="103" t="str">
        <x:v>baseSetup</x:v>
      </x:c>
      <x:c r="AA3" s="103" t="str">
        <x:v>baseAT</x:v>
      </x:c>
      <x:c r="AB3" s="103" t="str">
        <x:v>fatigueMultiplier</x:v>
      </x:c>
      <x:c r="AC3" s="103" t="str">
        <x:v>actualProcessing</x:v>
      </x:c>
      <x:c r="AD3" s="103" t="str">
        <x:v>actualSetup</x:v>
      </x:c>
      <x:c r="AE3" s="103" t="str">
        <x:v>actualAT</x:v>
      </x:c>
      <x:c r="AF3" s="103" t="str">
        <x:v>end</x:v>
      </x:c>
      <x:c r="AG3" s="103" t="str">
        <x:v>fatigueAfter</x:v>
      </x:c>
      <x:c r="AH3" s="103" t="str">
        <x:v>machineIdle</x:v>
      </x:c>
      <x:c r="AI3" s="103" t="str">
        <x:v>energy</x:v>
      </x:c>
      <x:c r="AJ3" s="103" t="str">
        <x:v>cost</x:v>
      </x:c>
      <x:c r="AK3" s="103" t="str">
        <x:v>safeThresholdExceeded</x:v>
      </x:c>
    </x:row>
    <x:row r="4">
      <x:c r="A4" s="119" t="n">
        <x:v>1</x:v>
      </x:c>
      <x:c r="B4" s="119" t="n">
        <x:v>3</x:v>
      </x:c>
      <x:c r="C4" s="119" t="n">
        <x:v>1</x:v>
      </x:c>
      <x:c r="D4" s="119" t="n">
        <x:v>1</x:v>
      </x:c>
      <x:c r="E4" s="119" t="n">
        <x:v>1</x:v>
      </x:c>
      <x:c r="F4" s="119" t="n">
        <x:v>1</x:v>
      </x:c>
      <x:c r="G4" s="120" t="n">
        <x:v>0</x:v>
      </x:c>
      <x:c r="H4" s="120" t="n">
        <x:v>0</x:v>
      </x:c>
      <x:c r="I4" s="120" t="n">
        <x:v>0</x:v>
      </x:c>
      <x:c r="J4" s="120" t="n">
        <x:v>0</x:v>
      </x:c>
      <x:c r="K4" s="120" t="n">
        <x:v>0</x:v>
      </x:c>
      <x:c r="L4" s="120" t="n">
        <x:v>0</x:v>
      </x:c>
      <x:c r="M4" s="120" t="n">
        <x:v>0</x:v>
      </x:c>
      <x:c r="N4" s="120" t="n">
        <x:v>8</x:v>
      </x:c>
      <x:c r="O4" s="120" t="n">
        <x:v>2</x:v>
      </x:c>
      <x:c r="P4" s="120" t="n">
        <x:v>1</x:v>
      </x:c>
      <x:c r="Q4" s="120" t="n">
        <x:v>6</x:v>
      </x:c>
      <x:c r="R4" s="120" t="n">
        <x:v>1</x:v>
      </x:c>
      <x:c r="S4" s="120" t="n">
        <x:v>10</x:v>
      </x:c>
      <x:c r="T4" s="120" t="n">
        <x:v>0.02</x:v>
      </x:c>
      <x:c r="U4" s="120" t="n">
        <x:v>0.05</x:v>
      </x:c>
      <x:c r="V4" s="120" t="n">
        <x:v>0.05</x:v>
      </x:c>
      <x:c r="W4" s="120" t="n">
        <x:v>0.3</x:v>
      </x:c>
      <x:c r="X4" s="120" t="n">
        <x:v>21.64042561333445</x:v>
      </x:c>
      <x:c r="Y4" s="120" t="n">
        <x:v>8</x:v>
      </x:c>
      <x:c r="Z4" s="120" t="n">
        <x:v>2</x:v>
      </x:c>
      <x:c r="AA4" s="120" t="n">
        <x:v>10</x:v>
      </x:c>
      <x:c r="AB4" s="120" t="n">
        <x:v>1</x:v>
      </x:c>
      <x:c r="AC4" s="120" t="n">
        <x:v>8</x:v>
      </x:c>
      <x:c r="AD4" s="120" t="n">
        <x:v>2</x:v>
      </x:c>
      <x:c r="AE4" s="120" t="n">
        <x:v>10</x:v>
      </x:c>
      <x:c r="AF4" s="120" t="n">
        <x:v>10</x:v>
      </x:c>
      <x:c r="AG4" s="120" t="n">
        <x:v>0.18126924692201815</x:v>
      </x:c>
      <x:c r="AH4" s="120" t="n">
        <x:v>0</x:v>
      </x:c>
      <x:c r="AI4" s="120" t="n">
        <x:v>60</x:v>
      </x:c>
      <x:c r="AJ4" s="120" t="n">
        <x:v>100</x:v>
      </x:c>
      <x:c r="AK4" s="120" t="str">
        <x:v>false</x:v>
      </x:c>
    </x:row>
    <x:row r="5">
      <x:c r="A5" s="119" t="n">
        <x:v>2</x:v>
      </x:c>
      <x:c r="B5" s="119" t="n">
        <x:v>4</x:v>
      </x:c>
      <x:c r="C5" s="119" t="n">
        <x:v>1</x:v>
      </x:c>
      <x:c r="D5" s="119" t="n">
        <x:v>1</x:v>
      </x:c>
      <x:c r="E5" s="119" t="n">
        <x:v>1</x:v>
      </x:c>
      <x:c r="F5" s="119" t="n">
        <x:v>2</x:v>
      </x:c>
      <x:c r="G5" s="120" t="n">
        <x:v>0</x:v>
      </x:c>
      <x:c r="H5" s="120" t="n">
        <x:v>10</x:v>
      </x:c>
      <x:c r="I5" s="120" t="n">
        <x:v>0</x:v>
      </x:c>
      <x:c r="J5" s="120" t="n">
        <x:v>10</x:v>
      </x:c>
      <x:c r="K5" s="120" t="n">
        <x:v>0</x:v>
      </x:c>
      <x:c r="L5" s="120" t="n">
        <x:v>0</x:v>
      </x:c>
      <x:c r="M5" s="120" t="n">
        <x:v>0</x:v>
      </x:c>
      <x:c r="N5" s="120" t="n">
        <x:v>7</x:v>
      </x:c>
      <x:c r="O5" s="120" t="n">
        <x:v>1</x:v>
      </x:c>
      <x:c r="P5" s="120" t="n">
        <x:v>1</x:v>
      </x:c>
      <x:c r="Q5" s="120" t="n">
        <x:v>6</x:v>
      </x:c>
      <x:c r="R5" s="120" t="n">
        <x:v>1</x:v>
      </x:c>
      <x:c r="S5" s="120" t="n">
        <x:v>11</x:v>
      </x:c>
      <x:c r="T5" s="120" t="n">
        <x:v>0.025</x:v>
      </x:c>
      <x:c r="U5" s="120" t="n">
        <x:v>0.04</x:v>
      </x:c>
      <x:c r="V5" s="120" t="n">
        <x:v>0.04</x:v>
      </x:c>
      <x:c r="W5" s="120" t="n">
        <x:v>0.3</x:v>
      </x:c>
      <x:c r="X5" s="120" t="n">
        <x:v>17.312340490667562</x:v>
      </x:c>
      <x:c r="Y5" s="120" t="n">
        <x:v>7</x:v>
      </x:c>
      <x:c r="Z5" s="120" t="n">
        <x:v>1</x:v>
      </x:c>
      <x:c r="AA5" s="120" t="n">
        <x:v>8</x:v>
      </x:c>
      <x:c r="AB5" s="120" t="n">
        <x:v>1</x:v>
      </x:c>
      <x:c r="AC5" s="120" t="n">
        <x:v>7</x:v>
      </x:c>
      <x:c r="AD5" s="120" t="n">
        <x:v>1</x:v>
      </x:c>
      <x:c r="AE5" s="120" t="n">
        <x:v>8</x:v>
      </x:c>
      <x:c r="AF5" s="120" t="n">
        <x:v>18</x:v>
      </x:c>
      <x:c r="AG5" s="120" t="n">
        <x:v>0.18126924692201815</x:v>
      </x:c>
      <x:c r="AH5" s="120" t="n">
        <x:v>0</x:v>
      </x:c>
      <x:c r="AI5" s="120" t="n">
        <x:v>48</x:v>
      </x:c>
      <x:c r="AJ5" s="120" t="n">
        <x:v>88</x:v>
      </x:c>
      <x:c r="AK5" s="120" t="str">
        <x:v>false</x:v>
      </x:c>
    </x:row>
    <x:row r="6">
      <x:c r="A6" s="119" t="n">
        <x:v>3</x:v>
      </x:c>
      <x:c r="B6" s="119" t="n">
        <x:v>5</x:v>
      </x:c>
      <x:c r="C6" s="119" t="n">
        <x:v>1</x:v>
      </x:c>
      <x:c r="D6" s="119" t="n">
        <x:v>1</x:v>
      </x:c>
      <x:c r="E6" s="119" t="n">
        <x:v>2</x:v>
      </x:c>
      <x:c r="F6" s="119" t="n">
        <x:v>2</x:v>
      </x:c>
      <x:c r="G6" s="120" t="n">
        <x:v>0</x:v>
      </x:c>
      <x:c r="H6" s="120" t="n">
        <x:v>0</x:v>
      </x:c>
      <x:c r="I6" s="120" t="n">
        <x:v>18</x:v>
      </x:c>
      <x:c r="J6" s="120" t="n">
        <x:v>18</x:v>
      </x:c>
      <x:c r="K6" s="120" t="n">
        <x:v>0</x:v>
      </x:c>
      <x:c r="L6" s="120" t="n">
        <x:v>0.18126924692201815</x:v>
      </x:c>
      <x:c r="M6" s="120" t="n">
        <x:v>0.18126924692201815</x:v>
      </x:c>
      <x:c r="N6" s="120" t="n">
        <x:v>5</x:v>
      </x:c>
      <x:c r="O6" s="120" t="n">
        <x:v>1</x:v>
      </x:c>
      <x:c r="P6" s="120" t="n">
        <x:v>1.25</x:v>
      </x:c>
      <x:c r="Q6" s="120" t="n">
        <x:v>8</x:v>
      </x:c>
      <x:c r="R6" s="120" t="n">
        <x:v>1</x:v>
      </x:c>
      <x:c r="S6" s="120" t="n">
        <x:v>11</x:v>
      </x:c>
      <x:c r="T6" s="120" t="n">
        <x:v>0.025</x:v>
      </x:c>
      <x:c r="U6" s="120" t="n">
        <x:v>0.04</x:v>
      </x:c>
      <x:c r="V6" s="120" t="n">
        <x:v>0.04</x:v>
      </x:c>
      <x:c r="W6" s="120" t="n">
        <x:v>0.3</x:v>
      </x:c>
      <x:c r="X6" s="120" t="n">
        <x:v>17.312340490667562</x:v>
      </x:c>
      <x:c r="Y6" s="120" t="n">
        <x:v>4</x:v>
      </x:c>
      <x:c r="Z6" s="120" t="n">
        <x:v>1</x:v>
      </x:c>
      <x:c r="AA6" s="120" t="n">
        <x:v>5</x:v>
      </x:c>
      <x:c r="AB6" s="120" t="n">
        <x:v>1.0721013507906485</x:v>
      </x:c>
      <x:c r="AC6" s="120" t="n">
        <x:v>4.288405403162594</x:v>
      </x:c>
      <x:c r="AD6" s="120" t="n">
        <x:v>1.0721013507906485</x:v>
      </x:c>
      <x:c r="AE6" s="120" t="n">
        <x:v>5.360506753953242</x:v>
      </x:c>
      <x:c r="AF6" s="120" t="n">
        <x:v>23.360506753953242</x:v>
      </x:c>
      <x:c r="AG6" s="120" t="n">
        <x:v>0.2839552892924505</x:v>
      </x:c>
      <x:c r="AH6" s="120" t="n">
        <x:v>0</x:v>
      </x:c>
      <x:c r="AI6" s="120" t="n">
        <x:v>42.884054031625936</x:v>
      </x:c>
      <x:c r="AJ6" s="120" t="n">
        <x:v>58.96557429348566</x:v>
      </x:c>
      <x:c r="AK6" s="120" t="str">
        <x:v>false</x:v>
      </x:c>
    </x:row>
    <x:row r="7">
      <x:c r="A7" s="119" t="n">
        <x:v>4</x:v>
      </x:c>
      <x:c r="B7" s="119" t="n">
        <x:v>3</x:v>
      </x:c>
      <x:c r="C7" s="119" t="n">
        <x:v>2</x:v>
      </x:c>
      <x:c r="D7" s="119" t="n">
        <x:v>1</x:v>
      </x:c>
      <x:c r="E7" s="119" t="n">
        <x:v>1</x:v>
      </x:c>
      <x:c r="F7" s="119" t="n">
        <x:v>4</x:v>
      </x:c>
      <x:c r="G7" s="120" t="n">
        <x:v>10</x:v>
      </x:c>
      <x:c r="H7" s="120" t="n">
        <x:v>0</x:v>
      </x:c>
      <x:c r="I7" s="120" t="n">
        <x:v>0</x:v>
      </x:c>
      <x:c r="J7" s="120" t="n">
        <x:v>10</x:v>
      </x:c>
      <x:c r="K7" s="120" t="n">
        <x:v>0</x:v>
      </x:c>
      <x:c r="L7" s="120" t="n">
        <x:v>0</x:v>
      </x:c>
      <x:c r="M7" s="120" t="n">
        <x:v>0</x:v>
      </x:c>
      <x:c r="N7" s="120" t="n">
        <x:v>5</x:v>
      </x:c>
      <x:c r="O7" s="120" t="n">
        <x:v>1</x:v>
      </x:c>
      <x:c r="P7" s="120" t="n">
        <x:v>1</x:v>
      </x:c>
      <x:c r="Q7" s="120" t="n">
        <x:v>7</x:v>
      </x:c>
      <x:c r="R7" s="120" t="n">
        <x:v>1.2</x:v>
      </x:c>
      <x:c r="S7" s="120" t="n">
        <x:v>12</x:v>
      </x:c>
      <x:c r="T7" s="120" t="n">
        <x:v>0.022</x:v>
      </x:c>
      <x:c r="U7" s="120" t="n">
        <x:v>0.05</x:v>
      </x:c>
      <x:c r="V7" s="120" t="n">
        <x:v>0.05</x:v>
      </x:c>
      <x:c r="W7" s="120" t="n">
        <x:v>0.3</x:v>
      </x:c>
      <x:c r="X7" s="120" t="n">
        <x:v>19.67311419394041</x:v>
      </x:c>
      <x:c r="Y7" s="120" t="n">
        <x:v>4.166666666666667</x:v>
      </x:c>
      <x:c r="Z7" s="120" t="n">
        <x:v>0.8333333333333334</x:v>
      </x:c>
      <x:c r="AA7" s="120" t="n">
        <x:v>5</x:v>
      </x:c>
      <x:c r="AB7" s="120" t="n">
        <x:v>1</x:v>
      </x:c>
      <x:c r="AC7" s="120" t="n">
        <x:v>4.166666666666667</x:v>
      </x:c>
      <x:c r="AD7" s="120" t="n">
        <x:v>0.8333333333333334</x:v>
      </x:c>
      <x:c r="AE7" s="120" t="n">
        <x:v>5</x:v>
      </x:c>
      <x:c r="AF7" s="120" t="n">
        <x:v>15</x:v>
      </x:c>
      <x:c r="AG7" s="120" t="n">
        <x:v>0.10416586470347174</x:v>
      </x:c>
      <x:c r="AH7" s="120" t="n">
        <x:v>0</x:v>
      </x:c>
      <x:c r="AI7" s="120" t="n">
        <x:v>35</x:v>
      </x:c>
      <x:c r="AJ7" s="120" t="n">
        <x:v>60</x:v>
      </x:c>
      <x:c r="AK7" s="120" t="str">
        <x:v>false</x:v>
      </x:c>
    </x:row>
    <x:row r="8">
      <x:c r="A8" s="119" t="n">
        <x:v>5</x:v>
      </x:c>
      <x:c r="B8" s="119" t="n">
        <x:v>4</x:v>
      </x:c>
      <x:c r="C8" s="119" t="n">
        <x:v>2</x:v>
      </x:c>
      <x:c r="D8" s="119" t="n">
        <x:v>1</x:v>
      </x:c>
      <x:c r="E8" s="119" t="n">
        <x:v>2</x:v>
      </x:c>
      <x:c r="F8" s="119" t="n">
        <x:v>4</x:v>
      </x:c>
      <x:c r="G8" s="120" t="n">
        <x:v>18</x:v>
      </x:c>
      <x:c r="H8" s="120" t="n">
        <x:v>0</x:v>
      </x:c>
      <x:c r="I8" s="120" t="n">
        <x:v>15</x:v>
      </x:c>
      <x:c r="J8" s="120" t="n">
        <x:v>18</x:v>
      </x:c>
      <x:c r="K8" s="120" t="n">
        <x:v>3</x:v>
      </x:c>
      <x:c r="L8" s="120" t="n">
        <x:v>0.10416586470347174</x:v>
      </x:c>
      <x:c r="M8" s="120" t="n">
        <x:v>0.08965639062149151</x:v>
      </x:c>
      <x:c r="N8" s="120" t="n">
        <x:v>9</x:v>
      </x:c>
      <x:c r="O8" s="120" t="n">
        <x:v>2</x:v>
      </x:c>
      <x:c r="P8" s="120" t="n">
        <x:v>1.25</x:v>
      </x:c>
      <x:c r="Q8" s="120" t="n">
        <x:v>9</x:v>
      </x:c>
      <x:c r="R8" s="120" t="n">
        <x:v>1.2</x:v>
      </x:c>
      <x:c r="S8" s="120" t="n">
        <x:v>12</x:v>
      </x:c>
      <x:c r="T8" s="120" t="n">
        <x:v>0.022</x:v>
      </x:c>
      <x:c r="U8" s="120" t="n">
        <x:v>0.05</x:v>
      </x:c>
      <x:c r="V8" s="120" t="n">
        <x:v>0.05</x:v>
      </x:c>
      <x:c r="W8" s="120" t="n">
        <x:v>0.3</x:v>
      </x:c>
      <x:c r="X8" s="120" t="n">
        <x:v>19.67311419394041</x:v>
      </x:c>
      <x:c r="Y8" s="120" t="n">
        <x:v>6</x:v>
      </x:c>
      <x:c r="Z8" s="120" t="n">
        <x:v>1.6666666666666667</x:v>
      </x:c>
      <x:c r="AA8" s="120" t="n">
        <x:v>7.666666666666667</x:v>
      </x:c>
      <x:c r="AB8" s="120" t="n">
        <x:v>1.037161981317658</x:v>
      </x:c>
      <x:c r="AC8" s="120" t="n">
        <x:v>6.222971887905948</x:v>
      </x:c>
      <x:c r="AD8" s="120" t="n">
        <x:v>1.7286033021960967</x:v>
      </x:c>
      <x:c r="AE8" s="120" t="n">
        <x:v>7.951575190102044</x:v>
      </x:c>
      <x:c r="AF8" s="120" t="n">
        <x:v>25.951575190102044</x:v>
      </x:c>
      <x:c r="AG8" s="120" t="n">
        <x:v>0.23575572725951838</x:v>
      </x:c>
      <x:c r="AH8" s="120" t="n">
        <x:v>0</x:v>
      </x:c>
      <x:c r="AI8" s="120" t="n">
        <x:v>71.5641767109184</x:v>
      </x:c>
      <x:c r="AJ8" s="120" t="n">
        <x:v>95.41890228122453</x:v>
      </x:c>
      <x:c r="AK8" s="120" t="str">
        <x:v>false</x:v>
      </x:c>
    </x:row>
    <x:row r="9">
      <x:c r="A9" s="119" t="n">
        <x:v>6</x:v>
      </x:c>
      <x:c r="B9" s="119" t="n">
        <x:v>5</x:v>
      </x:c>
      <x:c r="C9" s="119" t="n">
        <x:v>2</x:v>
      </x:c>
      <x:c r="D9" s="119" t="n">
        <x:v>1</x:v>
      </x:c>
      <x:c r="E9" s="119" t="n">
        <x:v>1</x:v>
      </x:c>
      <x:c r="F9" s="119" t="n">
        <x:v>3</x:v>
      </x:c>
      <x:c r="G9" s="120" t="n">
        <x:v>23.360506753953242</x:v>
      </x:c>
      <x:c r="H9" s="120" t="n">
        <x:v>15</x:v>
      </x:c>
      <x:c r="I9" s="120" t="n">
        <x:v>0</x:v>
      </x:c>
      <x:c r="J9" s="120" t="n">
        <x:v>23.360506753953242</x:v>
      </x:c>
      <x:c r="K9" s="120" t="n">
        <x:v>0</x:v>
      </x:c>
      <x:c r="L9" s="120" t="n">
        <x:v>0</x:v>
      </x:c>
      <x:c r="M9" s="120" t="n">
        <x:v>0</x:v>
      </x:c>
      <x:c r="N9" s="120" t="n">
        <x:v>7</x:v>
      </x:c>
      <x:c r="O9" s="120" t="n">
        <x:v>1</x:v>
      </x:c>
      <x:c r="P9" s="120" t="n">
        <x:v>1</x:v>
      </x:c>
      <x:c r="Q9" s="120" t="n">
        <x:v>7</x:v>
      </x:c>
      <x:c r="R9" s="120" t="n">
        <x:v>1</x:v>
      </x:c>
      <x:c r="S9" s="120" t="n">
        <x:v>10</x:v>
      </x:c>
      <x:c r="T9" s="120" t="n">
        <x:v>0.018</x:v>
      </x:c>
      <x:c r="U9" s="120" t="n">
        <x:v>0.06</x:v>
      </x:c>
      <x:c r="V9" s="120" t="n">
        <x:v>0.06</x:v>
      </x:c>
      <x:c r="W9" s="120" t="n">
        <x:v>0.3</x:v>
      </x:c>
      <x:c r="X9" s="120" t="n">
        <x:v>24.044917348149394</x:v>
      </x:c>
      <x:c r="Y9" s="120" t="n">
        <x:v>7</x:v>
      </x:c>
      <x:c r="Z9" s="120" t="n">
        <x:v>1</x:v>
      </x:c>
      <x:c r="AA9" s="120" t="n">
        <x:v>8</x:v>
      </x:c>
      <x:c r="AB9" s="120" t="n">
        <x:v>1</x:v>
      </x:c>
      <x:c r="AC9" s="120" t="n">
        <x:v>7</x:v>
      </x:c>
      <x:c r="AD9" s="120" t="n">
        <x:v>1</x:v>
      </x:c>
      <x:c r="AE9" s="120" t="n">
        <x:v>8</x:v>
      </x:c>
      <x:c r="AF9" s="120" t="n">
        <x:v>31.360506753953242</x:v>
      </x:c>
      <x:c r="AG9" s="120" t="n">
        <x:v>0.13411225194079499</x:v>
      </x:c>
      <x:c r="AH9" s="120" t="n">
        <x:v>8.360506753953246</x:v>
      </x:c>
      <x:c r="AI9" s="120" t="n">
        <x:v>64.36050675395325</x:v>
      </x:c>
      <x:c r="AJ9" s="120" t="n">
        <x:v>163.60506753953243</x:v>
      </x:c>
      <x:c r="AK9" s="120" t="str">
        <x:v>false</x:v>
      </x:c>
    </x:row>
    <x:row r="10">
      <x:c r="A10" s="119" t="n">
        <x:v>7</x:v>
      </x:c>
      <x:c r="B10" s="119" t="n">
        <x:v>1</x:v>
      </x:c>
      <x:c r="C10" s="119" t="n">
        <x:v>1</x:v>
      </x:c>
      <x:c r="D10" s="119" t="n">
        <x:v>2</x:v>
      </x:c>
      <x:c r="E10" s="119" t="n">
        <x:v>1</x:v>
      </x:c>
      <x:c r="F10" s="119" t="n">
        <x:v>1</x:v>
      </x:c>
      <x:c r="G10" s="120" t="n">
        <x:v>0</x:v>
      </x:c>
      <x:c r="H10" s="120" t="n">
        <x:v>0</x:v>
      </x:c>
      <x:c r="I10" s="120" t="n">
        <x:v>0</x:v>
      </x:c>
      <x:c r="J10" s="120" t="n">
        <x:v>0</x:v>
      </x:c>
      <x:c r="K10" s="120" t="n">
        <x:v>0</x:v>
      </x:c>
      <x:c r="L10" s="120" t="n">
        <x:v>0</x:v>
      </x:c>
      <x:c r="M10" s="120" t="n">
        <x:v>0</x:v>
      </x:c>
      <x:c r="N10" s="120" t="n">
        <x:v>10</x:v>
      </x:c>
      <x:c r="O10" s="120" t="n">
        <x:v>2</x:v>
      </x:c>
      <x:c r="P10" s="120" t="n">
        <x:v>1</x:v>
      </x:c>
      <x:c r="Q10" s="120" t="n">
        <x:v>6</x:v>
      </x:c>
      <x:c r="R10" s="120" t="n">
        <x:v>1</x:v>
      </x:c>
      <x:c r="S10" s="120" t="n">
        <x:v>10</x:v>
      </x:c>
      <x:c r="T10" s="120" t="n">
        <x:v>0.021</x:v>
      </x:c>
      <x:c r="U10" s="120" t="n">
        <x:v>0.05</x:v>
      </x:c>
      <x:c r="V10" s="120" t="n">
        <x:v>0.05</x:v>
      </x:c>
      <x:c r="W10" s="120" t="n">
        <x:v>0.3</x:v>
      </x:c>
      <x:c r="X10" s="120" t="n">
        <x:v>20.609929155556618</x:v>
      </x:c>
      <x:c r="Y10" s="120" t="n">
        <x:v>10</x:v>
      </x:c>
      <x:c r="Z10" s="120" t="n">
        <x:v>2</x:v>
      </x:c>
      <x:c r="AA10" s="120" t="n">
        <x:v>12</x:v>
      </x:c>
      <x:c r="AB10" s="120" t="n">
        <x:v>1</x:v>
      </x:c>
      <x:c r="AC10" s="120" t="n">
        <x:v>10</x:v>
      </x:c>
      <x:c r="AD10" s="120" t="n">
        <x:v>2</x:v>
      </x:c>
      <x:c r="AE10" s="120" t="n">
        <x:v>12</x:v>
      </x:c>
      <x:c r="AF10" s="120" t="n">
        <x:v>12</x:v>
      </x:c>
      <x:c r="AG10" s="120" t="n">
        <x:v>0.22275526193105386</x:v>
      </x:c>
      <x:c r="AH10" s="120" t="n">
        <x:v>0</x:v>
      </x:c>
      <x:c r="AI10" s="120" t="n">
        <x:v>72</x:v>
      </x:c>
      <x:c r="AJ10" s="120" t="n">
        <x:v>120</x:v>
      </x:c>
      <x:c r="AK10" s="120" t="str">
        <x:v>false</x:v>
      </x:c>
    </x:row>
    <x:row r="11">
      <x:c r="A11" s="119" t="n">
        <x:v>8</x:v>
      </x:c>
      <x:c r="B11" s="119" t="n">
        <x:v>2</x:v>
      </x:c>
      <x:c r="C11" s="119" t="n">
        <x:v>1</x:v>
      </x:c>
      <x:c r="D11" s="119" t="n">
        <x:v>2</x:v>
      </x:c>
      <x:c r="E11" s="119" t="n">
        <x:v>1</x:v>
      </x:c>
      <x:c r="F11" s="119" t="n">
        <x:v>1</x:v>
      </x:c>
      <x:c r="G11" s="120" t="n">
        <x:v>0</x:v>
      </x:c>
      <x:c r="H11" s="120" t="n">
        <x:v>12</x:v>
      </x:c>
      <x:c r="I11" s="120" t="n">
        <x:v>12</x:v>
      </x:c>
      <x:c r="J11" s="120" t="n">
        <x:v>12</x:v>
      </x:c>
      <x:c r="K11" s="120" t="n">
        <x:v>0</x:v>
      </x:c>
      <x:c r="L11" s="120" t="n">
        <x:v>0.22275526193105386</x:v>
      </x:c>
      <x:c r="M11" s="120" t="n">
        <x:v>0.22275526193105386</x:v>
      </x:c>
      <x:c r="N11" s="120" t="n">
        <x:v>6</x:v>
      </x:c>
      <x:c r="O11" s="120" t="n">
        <x:v>1</x:v>
      </x:c>
      <x:c r="P11" s="120" t="n">
        <x:v>1</x:v>
      </x:c>
      <x:c r="Q11" s="120" t="n">
        <x:v>6</x:v>
      </x:c>
      <x:c r="R11" s="120" t="n">
        <x:v>1</x:v>
      </x:c>
      <x:c r="S11" s="120" t="n">
        <x:v>10</x:v>
      </x:c>
      <x:c r="T11" s="120" t="n">
        <x:v>0.021</x:v>
      </x:c>
      <x:c r="U11" s="120" t="n">
        <x:v>0.05</x:v>
      </x:c>
      <x:c r="V11" s="120" t="n">
        <x:v>0.05</x:v>
      </x:c>
      <x:c r="W11" s="120" t="n">
        <x:v>0.3</x:v>
      </x:c>
      <x:c r="X11" s="120" t="n">
        <x:v>20.609929155556618</x:v>
      </x:c>
      <x:c r="Y11" s="120" t="n">
        <x:v>6</x:v>
      </x:c>
      <x:c r="Z11" s="120" t="n">
        <x:v>1</x:v>
      </x:c>
      <x:c r="AA11" s="120" t="n">
        <x:v>7</x:v>
      </x:c>
      <x:c r="AB11" s="120" t="n">
        <x:v>1.087040701928698</x:v>
      </x:c>
      <x:c r="AC11" s="120" t="n">
        <x:v>6.522244211572188</x:v>
      </x:c>
      <x:c r="AD11" s="120" t="n">
        <x:v>1.087040701928698</x:v>
      </x:c>
      <x:c r="AE11" s="120" t="n">
        <x:v>7.609284913500886</x:v>
      </x:c>
      <x:c r="AF11" s="120" t="n">
        <x:v>19.609284913500886</x:v>
      </x:c>
      <x:c r="AG11" s="120" t="n">
        <x:v>0.3375399224129997</x:v>
      </x:c>
      <x:c r="AH11" s="120" t="n">
        <x:v>0</x:v>
      </x:c>
      <x:c r="AI11" s="120" t="n">
        <x:v>45.65570948100532</x:v>
      </x:c>
      <x:c r="AJ11" s="120" t="n">
        <x:v>76.09284913500886</x:v>
      </x:c>
      <x:c r="AK11" s="120" t="str">
        <x:v>false</x:v>
      </x:c>
    </x:row>
    <x:row r="12">
      <x:c r="A12" s="119" t="n">
        <x:v>9</x:v>
      </x:c>
      <x:c r="B12" s="119" t="n">
        <x:v>1</x:v>
      </x:c>
      <x:c r="C12" s="119" t="n">
        <x:v>2</x:v>
      </x:c>
      <x:c r="D12" s="119" t="n">
        <x:v>2</x:v>
      </x:c>
      <x:c r="E12" s="119" t="n">
        <x:v>1</x:v>
      </x:c>
      <x:c r="F12" s="119" t="n">
        <x:v>4</x:v>
      </x:c>
      <x:c r="G12" s="120" t="n">
        <x:v>12</x:v>
      </x:c>
      <x:c r="H12" s="120" t="n">
        <x:v>0</x:v>
      </x:c>
      <x:c r="I12" s="120" t="n">
        <x:v>0</x:v>
      </x:c>
      <x:c r="J12" s="120" t="n">
        <x:v>12</x:v>
      </x:c>
      <x:c r="K12" s="120" t="n">
        <x:v>0</x:v>
      </x:c>
      <x:c r="L12" s="120" t="n">
        <x:v>0</x:v>
      </x:c>
      <x:c r="M12" s="120" t="n">
        <x:v>0</x:v>
      </x:c>
      <x:c r="N12" s="120" t="n">
        <x:v>6</x:v>
      </x:c>
      <x:c r="O12" s="120" t="n">
        <x:v>1</x:v>
      </x:c>
      <x:c r="P12" s="120" t="n">
        <x:v>1.1</x:v>
      </x:c>
      <x:c r="Q12" s="120" t="n">
        <x:v>7</x:v>
      </x:c>
      <x:c r="R12" s="120" t="n">
        <x:v>1.15</x:v>
      </x:c>
      <x:c r="S12" s="120" t="n">
        <x:v>12</x:v>
      </x:c>
      <x:c r="T12" s="120" t="n">
        <x:v>0.023</x:v>
      </x:c>
      <x:c r="U12" s="120" t="n">
        <x:v>0.05</x:v>
      </x:c>
      <x:c r="V12" s="120" t="n">
        <x:v>0.05</x:v>
      </x:c>
      <x:c r="W12" s="120" t="n">
        <x:v>0.3</x:v>
      </x:c>
      <x:c r="X12" s="120" t="n">
        <x:v>18.817761402899524</x:v>
      </x:c>
      <x:c r="Y12" s="120" t="n">
        <x:v>4.743083003952569</x:v>
      </x:c>
      <x:c r="Z12" s="120" t="n">
        <x:v>0.8695652173913044</x:v>
      </x:c>
      <x:c r="AA12" s="120" t="n">
        <x:v>5.612648221343874</x:v>
      </x:c>
      <x:c r="AB12" s="120" t="n">
        <x:v>1</x:v>
      </x:c>
      <x:c r="AC12" s="120" t="n">
        <x:v>4.743083003952569</x:v>
      </x:c>
      <x:c r="AD12" s="120" t="n">
        <x:v>0.8695652173913044</x:v>
      </x:c>
      <x:c r="AE12" s="120" t="n">
        <x:v>5.612648221343874</x:v>
      </x:c>
      <x:c r="AF12" s="120" t="n">
        <x:v>17.612648221343875</x:v>
      </x:c>
      <x:c r="AG12" s="120" t="n">
        <x:v>0.12110593754654357</x:v>
      </x:c>
      <x:c r="AH12" s="120" t="n">
        <x:v>0</x:v>
      </x:c>
      <x:c r="AI12" s="120" t="n">
        <x:v>39.28853754940712</x:v>
      </x:c>
      <x:c r="AJ12" s="120" t="n">
        <x:v>67.35177865612648</x:v>
      </x:c>
      <x:c r="AK12" s="120" t="str">
        <x:v>false</x:v>
      </x:c>
    </x:row>
    <x:row r="13">
      <x:c r="A13" s="119" t="n">
        <x:v>10</x:v>
      </x:c>
      <x:c r="B13" s="119" t="n">
        <x:v>2</x:v>
      </x:c>
      <x:c r="C13" s="119" t="n">
        <x:v>2</x:v>
      </x:c>
      <x:c r="D13" s="119" t="n">
        <x:v>2</x:v>
      </x:c>
      <x:c r="E13" s="119" t="n">
        <x:v>2</x:v>
      </x:c>
      <x:c r="F13" s="119" t="n">
        <x:v>4</x:v>
      </x:c>
      <x:c r="G13" s="120" t="n">
        <x:v>19.609284913500886</x:v>
      </x:c>
      <x:c r="H13" s="120" t="n">
        <x:v>0</x:v>
      </x:c>
      <x:c r="I13" s="120" t="n">
        <x:v>17.612648221343875</x:v>
      </x:c>
      <x:c r="J13" s="120" t="n">
        <x:v>19.609284913500886</x:v>
      </x:c>
      <x:c r="K13" s="120" t="n">
        <x:v>1.9966366921570113</x:v>
      </x:c>
      <x:c r="L13" s="120" t="n">
        <x:v>0.12110593754654357</x:v>
      </x:c>
      <x:c r="M13" s="120" t="n">
        <x:v>0.10959961315073388</x:v>
      </x:c>
      <x:c r="N13" s="120" t="n">
        <x:v>8</x:v>
      </x:c>
      <x:c r="O13" s="120" t="n">
        <x:v>2</x:v>
      </x:c>
      <x:c r="P13" s="120" t="n">
        <x:v>1.25</x:v>
      </x:c>
      <x:c r="Q13" s="120" t="n">
        <x:v>8</x:v>
      </x:c>
      <x:c r="R13" s="120" t="n">
        <x:v>1.15</x:v>
      </x:c>
      <x:c r="S13" s="120" t="n">
        <x:v>12</x:v>
      </x:c>
      <x:c r="T13" s="120" t="n">
        <x:v>0.023</x:v>
      </x:c>
      <x:c r="U13" s="120" t="n">
        <x:v>0.05</x:v>
      </x:c>
      <x:c r="V13" s="120" t="n">
        <x:v>0.05</x:v>
      </x:c>
      <x:c r="W13" s="120" t="n">
        <x:v>0.3</x:v>
      </x:c>
      <x:c r="X13" s="120" t="n">
        <x:v>18.817761402899524</x:v>
      </x:c>
      <x:c r="Y13" s="120" t="n">
        <x:v>5.565217391304348</x:v>
      </x:c>
      <x:c r="Z13" s="120" t="n">
        <x:v>1.7391304347826089</x:v>
      </x:c>
      <x:c r="AA13" s="120" t="n">
        <x:v>7.304347826086957</x:v>
      </x:c>
      <x:c r="AB13" s="120" t="n">
        <x:v>1.0450117569385144</x:v>
      </x:c>
      <x:c r="AC13" s="120" t="n">
        <x:v>5.815717603831732</x:v>
      </x:c>
      <x:c r="AD13" s="120" t="n">
        <x:v>1.8174117511974166</x:v>
      </x:c>
      <x:c r="AE13" s="120" t="n">
        <x:v>7.6331293550291495</x:v>
      </x:c>
      <x:c r="AF13" s="120" t="n">
        <x:v>27.242414268530034</x:v>
      </x:c>
      <x:c r="AG13" s="120" t="n">
        <x:v>0.2529670758996557</x:v>
      </x:c>
      <x:c r="AH13" s="120" t="n">
        <x:v>0</x:v>
      </x:c>
      <x:c r="AI13" s="120" t="n">
        <x:v>61.065034840233196</x:v>
      </x:c>
      <x:c r="AJ13" s="120" t="n">
        <x:v>91.5975522603498</x:v>
      </x:c>
      <x:c r="AK13" s="120" t="str">
        <x:v>false</x:v>
      </x:c>
    </x:row>
  </x:sheetData>
  <x:mergeCells>
    <x:mergeCell ref="A1:A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4" hidden="0" customWidth="1"/>
    <x:col min="7" max="7" width="4" hidden="0" customWidth="1"/>
    <x:col min="8" max="8" width="10" hidden="0" customWidth="1"/>
    <x:col min="9" max="9" width="10" hidden="0" customWidth="1"/>
    <x:col min="10" max="10" width="10" hidden="0" customWidth="1"/>
    <x:col min="11" max="11" width="20" hidden="0" customWidth="1"/>
    <x:col min="12" max="12" width="14" hidden="0" customWidth="1"/>
  </x:cols>
  <x:sheetData>
    <x:row r="1">
      <x:c r="A1" s="123" t="str">
        <x:v>I0-v35 独立公式计算与Java程序验证结论</x:v>
      </x:c>
      <x:c r="B1" s="123"/>
      <x:c r="C1" s="123"/>
      <x:c r="D1" s="123"/>
      <x:c r="E1" s="123"/>
      <x:c r="F1" s="123"/>
    </x:row>
    <x:row r="3">
      <x:c r="A3" s="103" t="str">
        <x:v>项目</x:v>
      </x:c>
      <x:c r="B3" s="103" t="str">
        <x:v>结果</x:v>
      </x:c>
      <x:c r="H3" s="103" t="str">
        <x:v>序号</x:v>
      </x:c>
      <x:c r="I3" s="103" t="str">
        <x:v>工件</x:v>
      </x:c>
      <x:c r="J3" s="103" t="str">
        <x:v>阶段</x:v>
      </x:c>
      <x:c r="K3" s="103" t="str">
        <x:v>最大误差</x:v>
      </x:c>
      <x:c r="L3" s="103" t="str">
        <x:v>状态</x:v>
      </x:c>
    </x:row>
    <x:row r="4">
      <x:c r="A4" s="108" t="str">
        <x:v>总状态</x:v>
      </x:c>
      <x:c r="B4" s="124" t="str">
        <x:v>PASS</x:v>
      </x:c>
      <x:c r="H4" s="108" t="n">
        <x:v>1</x:v>
      </x:c>
      <x:c r="I4" s="108" t="n">
        <x:v>3</x:v>
      </x:c>
      <x:c r="J4" s="108" t="n">
        <x:v>1</x:v>
      </x:c>
      <x:c r="K4" s="125" t="n">
        <x:v>0</x:v>
      </x:c>
      <x:c r="L4" s="108" t="str">
        <x:v>PASS</x:v>
      </x:c>
    </x:row>
    <x:row r="5">
      <x:c r="A5" s="108" t="str">
        <x:v>工序数</x:v>
      </x:c>
      <x:c r="B5" s="108" t="n">
        <x:v>10</x:v>
      </x:c>
      <x:c r="H5" s="108" t="n">
        <x:v>2</x:v>
      </x:c>
      <x:c r="I5" s="108" t="n">
        <x:v>4</x:v>
      </x:c>
      <x:c r="J5" s="108" t="n">
        <x:v>1</x:v>
      </x:c>
      <x:c r="K5" s="125" t="n">
        <x:v>0</x:v>
      </x:c>
      <x:c r="L5" s="108" t="str">
        <x:v>PASS</x:v>
      </x:c>
    </x:row>
    <x:row r="6">
      <x:c r="A6" s="108" t="str">
        <x:v>工序字段</x:v>
      </x:c>
      <x:c r="B6" s="108" t="str">
        <x:v>370 / 370</x:v>
      </x:c>
      <x:c r="H6" s="108" t="n">
        <x:v>3</x:v>
      </x:c>
      <x:c r="I6" s="108" t="n">
        <x:v>5</x:v>
      </x:c>
      <x:c r="J6" s="108" t="n">
        <x:v>1</x:v>
      </x:c>
      <x:c r="K6" s="125" t="n">
        <x:v>0</x:v>
      </x:c>
      <x:c r="L6" s="108" t="str">
        <x:v>PASS</x:v>
      </x:c>
    </x:row>
    <x:row r="7">
      <x:c r="A7" s="108" t="str">
        <x:v>工序失败字段</x:v>
      </x:c>
      <x:c r="B7" s="108" t="n">
        <x:v>0</x:v>
      </x:c>
      <x:c r="H7" s="108" t="n">
        <x:v>4</x:v>
      </x:c>
      <x:c r="I7" s="108" t="n">
        <x:v>3</x:v>
      </x:c>
      <x:c r="J7" s="108" t="n">
        <x:v>2</x:v>
      </x:c>
      <x:c r="K7" s="125" t="n">
        <x:v>0</x:v>
      </x:c>
      <x:c r="L7" s="108" t="str">
        <x:v>PASS</x:v>
      </x:c>
    </x:row>
    <x:row r="8">
      <x:c r="A8" s="108" t="str">
        <x:v>目标/指标</x:v>
      </x:c>
      <x:c r="B8" s="108" t="str">
        <x:v>11 / 11</x:v>
      </x:c>
      <x:c r="H8" s="108" t="n">
        <x:v>5</x:v>
      </x:c>
      <x:c r="I8" s="108" t="n">
        <x:v>4</x:v>
      </x:c>
      <x:c r="J8" s="108" t="n">
        <x:v>2</x:v>
      </x:c>
      <x:c r="K8" s="125" t="n">
        <x:v>0</x:v>
      </x:c>
      <x:c r="L8" s="108" t="str">
        <x:v>PASS</x:v>
      </x:c>
    </x:row>
    <x:row r="9">
      <x:c r="A9" s="108" t="str">
        <x:v>目标失败项</x:v>
      </x:c>
      <x:c r="B9" s="108" t="n">
        <x:v>0</x:v>
      </x:c>
      <x:c r="H9" s="108" t="n">
        <x:v>6</x:v>
      </x:c>
      <x:c r="I9" s="108" t="n">
        <x:v>5</x:v>
      </x:c>
      <x:c r="J9" s="108" t="n">
        <x:v>2</x:v>
      </x:c>
      <x:c r="K9" s="125" t="n">
        <x:v>3.552713678800501e-15</x:v>
      </x:c>
      <x:c r="L9" s="108" t="str">
        <x:v>PASS</x:v>
      </x:c>
    </x:row>
    <x:row r="10">
      <x:c r="A10" s="108" t="str">
        <x:v>最大绝对误差</x:v>
      </x:c>
      <x:c r="B10" s="108" t="n">
        <x:v>3.552713678800501e-15</x:v>
      </x:c>
      <x:c r="H10" s="108" t="n">
        <x:v>7</x:v>
      </x:c>
      <x:c r="I10" s="108" t="n">
        <x:v>1</x:v>
      </x:c>
      <x:c r="J10" s="108" t="n">
        <x:v>1</x:v>
      </x:c>
      <x:c r="K10" s="125" t="n">
        <x:v>0</x:v>
      </x:c>
      <x:c r="L10" s="108" t="str">
        <x:v>PASS</x:v>
      </x:c>
    </x:row>
    <x:row r="11">
      <x:c r="H11" s="108" t="n">
        <x:v>8</x:v>
      </x:c>
      <x:c r="I11" s="108" t="n">
        <x:v>2</x:v>
      </x:c>
      <x:c r="J11" s="108" t="n">
        <x:v>1</x:v>
      </x:c>
      <x:c r="K11" s="125" t="n">
        <x:v>0</x:v>
      </x:c>
      <x:c r="L11" s="108" t="str">
        <x:v>PASS</x:v>
      </x:c>
    </x:row>
    <x:row r="12">
      <x:c r="H12" s="108" t="n">
        <x:v>9</x:v>
      </x:c>
      <x:c r="I12" s="108" t="n">
        <x:v>1</x:v>
      </x:c>
      <x:c r="J12" s="108" t="n">
        <x:v>2</x:v>
      </x:c>
      <x:c r="K12" s="125" t="n">
        <x:v>0</x:v>
      </x:c>
      <x:c r="L12" s="108" t="str">
        <x:v>PASS</x:v>
      </x:c>
    </x:row>
    <x:row r="13">
      <x:c r="A13" s="103" t="str">
        <x:v>指标</x:v>
      </x:c>
      <x:c r="B13" s="103" t="str">
        <x:v>独立计算</x:v>
      </x:c>
      <x:c r="C13" s="103" t="str">
        <x:v>Java</x:v>
      </x:c>
      <x:c r="D13" s="103" t="str">
        <x:v>绝对误差</x:v>
      </x:c>
      <x:c r="E13" s="103" t="str">
        <x:v>状态</x:v>
      </x:c>
      <x:c r="H13" s="108" t="n">
        <x:v>10</x:v>
      </x:c>
      <x:c r="I13" s="108" t="n">
        <x:v>2</x:v>
      </x:c>
      <x:c r="J13" s="108" t="n">
        <x:v>2</x:v>
      </x:c>
      <x:c r="K13" s="125" t="n">
        <x:v>1.3877787807814457e-17</x:v>
      </x:c>
      <x:c r="L13" s="108" t="str">
        <x:v>PASS</x:v>
      </x:c>
    </x:row>
    <x:row r="14">
      <x:c r="A14" s="108" t="str">
        <x:v>Cmax</x:v>
      </x:c>
      <x:c r="B14" s="125" t="n">
        <x:v>31.360506753953242</x:v>
      </x:c>
      <x:c r="C14" s="125" t="n">
        <x:v>31.360506753953242</x:v>
      </x:c>
      <x:c r="D14" s="125" t="n">
        <x:v>0</x:v>
      </x:c>
      <x:c r="E14" s="108" t="str">
        <x:v>PASS</x:v>
      </x:c>
    </x:row>
    <x:row r="15">
      <x:c r="A15" s="108" t="str">
        <x:v>TEC</x:v>
      </x:c>
      <x:c r="B15" s="125" t="n">
        <x:v>539.8180193671433</x:v>
      </x:c>
      <x:c r="C15" s="125" t="n">
        <x:v>539.8180193671433</x:v>
      </x:c>
      <x:c r="D15" s="125" t="n">
        <x:v>0</x:v>
      </x:c>
      <x:c r="E15" s="108" t="str">
        <x:v>PASS</x:v>
      </x:c>
    </x:row>
    <x:row r="16">
      <x:c r="A16" s="108" t="str">
        <x:v>TWC</x:v>
      </x:c>
      <x:c r="B16" s="125" t="n">
        <x:v>921.0317241657277</x:v>
      </x:c>
      <x:c r="C16" s="125" t="n">
        <x:v>921.0317241657277</x:v>
      </x:c>
      <x:c r="D16" s="125" t="n">
        <x:v>0</x:v>
      </x:c>
      <x:c r="E16" s="108" t="str">
        <x:v>PASS</x:v>
      </x:c>
    </x:row>
    <x:row r="17">
      <x:c r="A17" s="108" t="str">
        <x:v>Fmax</x:v>
      </x:c>
      <x:c r="B17" s="125" t="n">
        <x:v>0.3375399224129997</x:v>
      </x:c>
      <x:c r="C17" s="125" t="n">
        <x:v>0.3375399224129997</x:v>
      </x:c>
      <x:c r="D17" s="125" t="n">
        <x:v>0</x:v>
      </x:c>
      <x:c r="E17" s="108" t="str">
        <x:v>PASS</x:v>
      </x:c>
    </x:row>
    <x:row r="18">
      <x:c r="A18" s="108" t="str">
        <x:v>Favg</x:v>
      </x:c>
      <x:c r="B18" s="125" t="n">
        <x:v>0.20548958248305244</x:v>
      </x:c>
      <x:c r="C18" s="125" t="n">
        <x:v>0.20548958248305244</x:v>
      </x:c>
      <x:c r="D18" s="125" t="n">
        <x:v>0</x:v>
      </x:c>
      <x:c r="E18" s="108" t="str">
        <x:v>PASS</x:v>
      </x:c>
    </x:row>
    <x:row r="19">
      <x:c r="A19" s="108" t="str">
        <x:v>FE</x:v>
      </x:c>
      <x:c r="B19" s="125" t="n">
        <x:v>0</x:v>
      </x:c>
      <x:c r="C19" s="125" t="n">
        <x:v>0</x:v>
      </x:c>
      <x:c r="D19" s="125" t="n">
        <x:v>0</x:v>
      </x:c>
      <x:c r="E19" s="108" t="str">
        <x:v>PASS</x:v>
      </x:c>
    </x:row>
    <x:row r="20">
      <x:c r="A20" s="108" t="str">
        <x:v>VarFw</x:v>
      </x:c>
      <x:c r="B20" s="125" t="n">
        <x:v>0.006906929441963704</x:v>
      </x:c>
      <x:c r="C20" s="125" t="n">
        <x:v>0.006906929441963704</x:v>
      </x:c>
      <x:c r="D20" s="125" t="n">
        <x:v>0</x:v>
      </x:c>
      <x:c r="E20" s="108" t="str">
        <x:v>PASS</x:v>
      </x:c>
    </x:row>
    <x:row r="21">
      <x:c r="A21" s="108" t="str">
        <x:v>highFatigueRatio</x:v>
      </x:c>
      <x:c r="B21" s="125" t="n">
        <x:v>0</x:v>
      </x:c>
      <x:c r="C21" s="125" t="n">
        <x:v>0</x:v>
      </x:c>
      <x:c r="D21" s="125" t="n">
        <x:v>0</x:v>
      </x:c>
      <x:c r="E21" s="108" t="str">
        <x:v>PASS</x:v>
      </x:c>
    </x:row>
    <x:row r="22">
      <x:c r="A22" s="108" t="str">
        <x:v>longestContinuousWork</x:v>
      </x:c>
      <x:c r="B22" s="125" t="n">
        <x:v>19.609284913500886</x:v>
      </x:c>
      <x:c r="C22" s="125" t="n">
        <x:v>19.609284913500886</x:v>
      </x:c>
      <x:c r="D22" s="125" t="n">
        <x:v>0</x:v>
      </x:c>
      <x:c r="E22" s="108" t="str">
        <x:v>PASS</x:v>
      </x:c>
    </x:row>
    <x:row r="23">
      <x:c r="A23" s="108" t="str">
        <x:v>totalNaturalRecovery</x:v>
      </x:c>
      <x:c r="B23" s="125" t="n">
        <x:v>4.996636692157011</x:v>
      </x:c>
      <x:c r="C23" s="125" t="n">
        <x:v>4.996636692157011</x:v>
      </x:c>
      <x:c r="D23" s="125" t="n">
        <x:v>0</x:v>
      </x:c>
      <x:c r="E23" s="108" t="str">
        <x:v>PASS</x:v>
      </x:c>
    </x:row>
    <x:row r="24">
      <x:c r="A24" s="108" t="str">
        <x:v>safeEvents</x:v>
      </x:c>
      <x:c r="B24" s="125" t="n">
        <x:v>0</x:v>
      </x:c>
      <x:c r="C24" s="125" t="n">
        <x:v>0</x:v>
      </x:c>
      <x:c r="D24" s="125" t="n">
        <x:v>0</x:v>
      </x:c>
      <x:c r="E24" s="108" t="str"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12" hidden="0" customWidth="1"/>
  </x:cols>
  <x:sheetData>
    <x:row r="1">
      <x:c r="A1" s="123" t="str">
        <x:v>10道工序×37字段：独立计算与Java逐字段比较</x:v>
      </x:c>
      <x:c r="B1" s="123"/>
      <x:c r="C1" s="123"/>
      <x:c r="D1" s="123"/>
      <x:c r="E1" s="123"/>
      <x:c r="F1" s="123"/>
      <x:c r="G1" s="123"/>
      <x:c r="H1" s="123"/>
    </x:row>
    <x:row r="3">
      <x:c r="A3" s="103" t="str">
        <x:v>sequence</x:v>
      </x:c>
      <x:c r="B3" s="103" t="str">
        <x:v>job</x:v>
      </x:c>
      <x:c r="C3" s="103" t="str">
        <x:v>stage</x:v>
      </x:c>
      <x:c r="D3" s="103" t="str">
        <x:v>field</x:v>
      </x:c>
      <x:c r="E3" s="103" t="str">
        <x:v>manualValue</x:v>
      </x:c>
      <x:c r="F3" s="103" t="str">
        <x:v>javaValue</x:v>
      </x:c>
      <x:c r="G3" s="103" t="str">
        <x:v>absoluteError</x:v>
      </x:c>
      <x:c r="H3" s="103" t="str">
        <x:v>status</x:v>
      </x:c>
    </x:row>
    <x:row r="4">
      <x:c r="A4" s="108" t="n">
        <x:v>1</x:v>
      </x:c>
      <x:c r="B4" s="108" t="n">
        <x:v>3</x:v>
      </x:c>
      <x:c r="C4" s="108" t="n">
        <x:v>1</x:v>
      </x:c>
      <x:c r="D4" s="108" t="str">
        <x:v>sequence</x:v>
      </x:c>
      <x:c r="E4" s="125" t="str">
        <x:v>1</x:v>
      </x:c>
      <x:c r="F4" s="125" t="str">
        <x:v>1</x:v>
      </x:c>
      <x:c r="G4" s="125" t="n">
        <x:v>0</x:v>
      </x:c>
      <x:c r="H4" s="108" t="str">
        <x:v>PASS</x:v>
      </x:c>
    </x:row>
    <x:row r="5">
      <x:c r="A5" s="108" t="n">
        <x:v>1</x:v>
      </x:c>
      <x:c r="B5" s="108" t="n">
        <x:v>3</x:v>
      </x:c>
      <x:c r="C5" s="108" t="n">
        <x:v>1</x:v>
      </x:c>
      <x:c r="D5" s="108" t="str">
        <x:v>job</x:v>
      </x:c>
      <x:c r="E5" s="125" t="str">
        <x:v>3</x:v>
      </x:c>
      <x:c r="F5" s="125" t="str">
        <x:v>3</x:v>
      </x:c>
      <x:c r="G5" s="125" t="n">
        <x:v>0</x:v>
      </x:c>
      <x:c r="H5" s="108" t="str">
        <x:v>PASS</x:v>
      </x:c>
    </x:row>
    <x:row r="6">
      <x:c r="A6" s="108" t="n">
        <x:v>1</x:v>
      </x:c>
      <x:c r="B6" s="108" t="n">
        <x:v>3</x:v>
      </x:c>
      <x:c r="C6" s="108" t="n">
        <x:v>1</x:v>
      </x:c>
      <x:c r="D6" s="108" t="str">
        <x:v>stage</x:v>
      </x:c>
      <x:c r="E6" s="125" t="str">
        <x:v>1</x:v>
      </x:c>
      <x:c r="F6" s="125" t="str">
        <x:v>1</x:v>
      </x:c>
      <x:c r="G6" s="125" t="n">
        <x:v>0</x:v>
      </x:c>
      <x:c r="H6" s="108" t="str">
        <x:v>PASS</x:v>
      </x:c>
    </x:row>
    <x:row r="7">
      <x:c r="A7" s="108" t="n">
        <x:v>1</x:v>
      </x:c>
      <x:c r="B7" s="108" t="n">
        <x:v>3</x:v>
      </x:c>
      <x:c r="C7" s="108" t="n">
        <x:v>1</x:v>
      </x:c>
      <x:c r="D7" s="108" t="str">
        <x:v>factory</x:v>
      </x:c>
      <x:c r="E7" s="125" t="str">
        <x:v>1</x:v>
      </x:c>
      <x:c r="F7" s="125" t="str">
        <x:v>1</x:v>
      </x:c>
      <x:c r="G7" s="125" t="n">
        <x:v>0</x:v>
      </x:c>
      <x:c r="H7" s="108" t="str">
        <x:v>PASS</x:v>
      </x:c>
    </x:row>
    <x:row r="8">
      <x:c r="A8" s="108" t="n">
        <x:v>1</x:v>
      </x:c>
      <x:c r="B8" s="108" t="n">
        <x:v>3</x:v>
      </x:c>
      <x:c r="C8" s="108" t="n">
        <x:v>1</x:v>
      </x:c>
      <x:c r="D8" s="108" t="str">
        <x:v>machine</x:v>
      </x:c>
      <x:c r="E8" s="125" t="str">
        <x:v>1</x:v>
      </x:c>
      <x:c r="F8" s="125" t="str">
        <x:v>1</x:v>
      </x:c>
      <x:c r="G8" s="125" t="n">
        <x:v>0</x:v>
      </x:c>
      <x:c r="H8" s="108" t="str">
        <x:v>PASS</x:v>
      </x:c>
    </x:row>
    <x:row r="9">
      <x:c r="A9" s="108" t="n">
        <x:v>1</x:v>
      </x:c>
      <x:c r="B9" s="108" t="n">
        <x:v>3</x:v>
      </x:c>
      <x:c r="C9" s="108" t="n">
        <x:v>1</x:v>
      </x:c>
      <x:c r="D9" s="108" t="str">
        <x:v>worker</x:v>
      </x:c>
      <x:c r="E9" s="125" t="str">
        <x:v>1</x:v>
      </x:c>
      <x:c r="F9" s="125" t="str">
        <x:v>1</x:v>
      </x:c>
      <x:c r="G9" s="125" t="n">
        <x:v>0</x:v>
      </x:c>
      <x:c r="H9" s="108" t="str">
        <x:v>PASS</x:v>
      </x:c>
    </x:row>
    <x:row r="10">
      <x:c r="A10" s="108" t="n">
        <x:v>1</x:v>
      </x:c>
      <x:c r="B10" s="108" t="n">
        <x:v>3</x:v>
      </x:c>
      <x:c r="C10" s="108" t="n">
        <x:v>1</x:v>
      </x:c>
      <x:c r="D10" s="108" t="str">
        <x:v>predecessorCompletion</x:v>
      </x:c>
      <x:c r="E10" s="125" t="str">
        <x:v>0</x:v>
      </x:c>
      <x:c r="F10" s="125" t="str">
        <x:v>0.0000000000000000</x:v>
      </x:c>
      <x:c r="G10" s="125" t="n">
        <x:v>0</x:v>
      </x:c>
      <x:c r="H10" s="108" t="str">
        <x:v>PASS</x:v>
      </x:c>
    </x:row>
    <x:row r="11">
      <x:c r="A11" s="108" t="n">
        <x:v>1</x:v>
      </x:c>
      <x:c r="B11" s="108" t="n">
        <x:v>3</x:v>
      </x:c>
      <x:c r="C11" s="108" t="n">
        <x:v>1</x:v>
      </x:c>
      <x:c r="D11" s="108" t="str">
        <x:v>machineAvailableBefore</x:v>
      </x:c>
      <x:c r="E11" s="125" t="str">
        <x:v>0</x:v>
      </x:c>
      <x:c r="F11" s="125" t="str">
        <x:v>0.0000000000000000</x:v>
      </x:c>
      <x:c r="G11" s="125" t="n">
        <x:v>0</x:v>
      </x:c>
      <x:c r="H11" s="108" t="str">
        <x:v>PASS</x:v>
      </x:c>
    </x:row>
    <x:row r="12">
      <x:c r="A12" s="108" t="n">
        <x:v>1</x:v>
      </x:c>
      <x:c r="B12" s="108" t="n">
        <x:v>3</x:v>
      </x:c>
      <x:c r="C12" s="108" t="n">
        <x:v>1</x:v>
      </x:c>
      <x:c r="D12" s="108" t="str">
        <x:v>workerAvailableBefore</x:v>
      </x:c>
      <x:c r="E12" s="125" t="str">
        <x:v>0</x:v>
      </x:c>
      <x:c r="F12" s="125" t="str">
        <x:v>0.0000000000000000</x:v>
      </x:c>
      <x:c r="G12" s="125" t="n">
        <x:v>0</x:v>
      </x:c>
      <x:c r="H12" s="108" t="str">
        <x:v>PASS</x:v>
      </x:c>
    </x:row>
    <x:row r="13">
      <x:c r="A13" s="108" t="n">
        <x:v>1</x:v>
      </x:c>
      <x:c r="B13" s="108" t="n">
        <x:v>3</x:v>
      </x:c>
      <x:c r="C13" s="108" t="n">
        <x:v>1</x:v>
      </x:c>
      <x:c r="D13" s="108" t="str">
        <x:v>start</x:v>
      </x:c>
      <x:c r="E13" s="125" t="str">
        <x:v>0</x:v>
      </x:c>
      <x:c r="F13" s="125" t="str">
        <x:v>0.0000000000000000</x:v>
      </x:c>
      <x:c r="G13" s="125" t="n">
        <x:v>0</x:v>
      </x:c>
      <x:c r="H13" s="108" t="str">
        <x:v>PASS</x:v>
      </x:c>
    </x:row>
    <x:row r="14">
      <x:c r="A14" s="108" t="n">
        <x:v>1</x:v>
      </x:c>
      <x:c r="B14" s="108" t="n">
        <x:v>3</x:v>
      </x:c>
      <x:c r="C14" s="108" t="n">
        <x:v>1</x:v>
      </x:c>
      <x:c r="D14" s="108" t="str">
        <x:v>recoveryDuration</x:v>
      </x:c>
      <x:c r="E14" s="125" t="str">
        <x:v>0</x:v>
      </x:c>
      <x:c r="F14" s="125" t="str">
        <x:v>0.0000000000000000</x:v>
      </x:c>
      <x:c r="G14" s="125" t="n">
        <x:v>0</x:v>
      </x:c>
      <x:c r="H14" s="108" t="str">
        <x:v>PASS</x:v>
      </x:c>
    </x:row>
    <x:row r="15">
      <x:c r="A15" s="108" t="n">
        <x:v>1</x:v>
      </x:c>
      <x:c r="B15" s="108" t="n">
        <x:v>3</x:v>
      </x:c>
      <x:c r="C15" s="108" t="n">
        <x:v>1</x:v>
      </x:c>
      <x:c r="D15" s="108" t="str">
        <x:v>fatigueBeforeRecovery</x:v>
      </x:c>
      <x:c r="E15" s="125" t="str">
        <x:v>0</x:v>
      </x:c>
      <x:c r="F15" s="125" t="str">
        <x:v>0.0000000000000000</x:v>
      </x:c>
      <x:c r="G15" s="125" t="n">
        <x:v>0</x:v>
      </x:c>
      <x:c r="H15" s="108" t="str">
        <x:v>PASS</x:v>
      </x:c>
    </x:row>
    <x:row r="16">
      <x:c r="A16" s="108" t="n">
        <x:v>1</x:v>
      </x:c>
      <x:c r="B16" s="108" t="n">
        <x:v>3</x:v>
      </x:c>
      <x:c r="C16" s="108" t="n">
        <x:v>1</x:v>
      </x:c>
      <x:c r="D16" s="108" t="str">
        <x:v>fatigueAtStart</x:v>
      </x:c>
      <x:c r="E16" s="125" t="str">
        <x:v>0</x:v>
      </x:c>
      <x:c r="F16" s="125" t="str">
        <x:v>0.0000000000000000</x:v>
      </x:c>
      <x:c r="G16" s="125" t="n">
        <x:v>0</x:v>
      </x:c>
      <x:c r="H16" s="108" t="str">
        <x:v>PASS</x:v>
      </x:c>
    </x:row>
    <x:row r="17">
      <x:c r="A17" s="108" t="n">
        <x:v>1</x:v>
      </x:c>
      <x:c r="B17" s="108" t="n">
        <x:v>3</x:v>
      </x:c>
      <x:c r="C17" s="108" t="n">
        <x:v>1</x:v>
      </x:c>
      <x:c r="D17" s="108" t="str">
        <x:v>ST</x:v>
      </x:c>
      <x:c r="E17" s="125" t="str">
        <x:v>8</x:v>
      </x:c>
      <x:c r="F17" s="125" t="str">
        <x:v>8</x:v>
      </x:c>
      <x:c r="G17" s="125" t="n">
        <x:v>0</x:v>
      </x:c>
      <x:c r="H17" s="108" t="str">
        <x:v>PASS</x:v>
      </x:c>
    </x:row>
    <x:row r="18">
      <x:c r="A18" s="108" t="n">
        <x:v>1</x:v>
      </x:c>
      <x:c r="B18" s="108" t="n">
        <x:v>3</x:v>
      </x:c>
      <x:c r="C18" s="108" t="n">
        <x:v>1</x:v>
      </x:c>
      <x:c r="D18" s="108" t="str">
        <x:v>SUT</x:v>
      </x:c>
      <x:c r="E18" s="125" t="str">
        <x:v>2</x:v>
      </x:c>
      <x:c r="F18" s="125" t="str">
        <x:v>2</x:v>
      </x:c>
      <x:c r="G18" s="125" t="n">
        <x:v>0</x:v>
      </x:c>
      <x:c r="H18" s="108" t="str">
        <x:v>PASS</x:v>
      </x:c>
    </x:row>
    <x:row r="19">
      <x:c r="A19" s="108" t="n">
        <x:v>1</x:v>
      </x:c>
      <x:c r="B19" s="108" t="n">
        <x:v>3</x:v>
      </x:c>
      <x:c r="C19" s="108" t="n">
        <x:v>1</x:v>
      </x:c>
      <x:c r="D19" s="108" t="str">
        <x:v>machineSpeed</x:v>
      </x:c>
      <x:c r="E19" s="125" t="str">
        <x:v>1</x:v>
      </x:c>
      <x:c r="F19" s="125" t="str">
        <x:v>1.0000000000000000</x:v>
      </x:c>
      <x:c r="G19" s="125" t="n">
        <x:v>0</x:v>
      </x:c>
      <x:c r="H19" s="108" t="str">
        <x:v>PASS</x:v>
      </x:c>
    </x:row>
    <x:row r="20">
      <x:c r="A20" s="108" t="n">
        <x:v>1</x:v>
      </x:c>
      <x:c r="B20" s="108" t="n">
        <x:v>3</x:v>
      </x:c>
      <x:c r="C20" s="108" t="n">
        <x:v>1</x:v>
      </x:c>
      <x:c r="D20" s="108" t="str">
        <x:v>machinePower</x:v>
      </x:c>
      <x:c r="E20" s="125" t="str">
        <x:v>6</x:v>
      </x:c>
      <x:c r="F20" s="125" t="str">
        <x:v>6</x:v>
      </x:c>
      <x:c r="G20" s="125" t="n">
        <x:v>0</x:v>
      </x:c>
      <x:c r="H20" s="108" t="str">
        <x:v>PASS</x:v>
      </x:c>
    </x:row>
    <x:row r="21">
      <x:c r="A21" s="108" t="n">
        <x:v>1</x:v>
      </x:c>
      <x:c r="B21" s="108" t="n">
        <x:v>3</x:v>
      </x:c>
      <x:c r="C21" s="108" t="n">
        <x:v>1</x:v>
      </x:c>
      <x:c r="D21" s="108" t="str">
        <x:v>workerEfficiency</x:v>
      </x:c>
      <x:c r="E21" s="125" t="str">
        <x:v>1</x:v>
      </x:c>
      <x:c r="F21" s="125" t="str">
        <x:v>1.0000000000000000</x:v>
      </x:c>
      <x:c r="G21" s="125" t="n">
        <x:v>0</x:v>
      </x:c>
      <x:c r="H21" s="108" t="str">
        <x:v>PASS</x:v>
      </x:c>
    </x:row>
    <x:row r="22">
      <x:c r="A22" s="108" t="n">
        <x:v>1</x:v>
      </x:c>
      <x:c r="B22" s="108" t="n">
        <x:v>3</x:v>
      </x:c>
      <x:c r="C22" s="108" t="n">
        <x:v>1</x:v>
      </x:c>
      <x:c r="D22" s="108" t="str">
        <x:v>workerCost</x:v>
      </x:c>
      <x:c r="E22" s="125" t="str">
        <x:v>10</x:v>
      </x:c>
      <x:c r="F22" s="125" t="str">
        <x:v>10</x:v>
      </x:c>
      <x:c r="G22" s="125" t="n">
        <x:v>0</x:v>
      </x:c>
      <x:c r="H22" s="108" t="str">
        <x:v>PASS</x:v>
      </x:c>
    </x:row>
    <x:row r="23">
      <x:c r="A23" s="108" t="n">
        <x:v>1</x:v>
      </x:c>
      <x:c r="B23" s="108" t="n">
        <x:v>3</x:v>
      </x:c>
      <x:c r="C23" s="108" t="n">
        <x:v>1</x:v>
      </x:c>
      <x:c r="D23" s="108" t="str">
        <x:v>lambda</x:v>
      </x:c>
      <x:c r="E23" s="125" t="str">
        <x:v>0.02</x:v>
      </x:c>
      <x:c r="F23" s="125" t="str">
        <x:v>0.020000000000000000</x:v>
      </x:c>
      <x:c r="G23" s="125" t="n">
        <x:v>0</x:v>
      </x:c>
      <x:c r="H23" s="108" t="str">
        <x:v>PASS</x:v>
      </x:c>
    </x:row>
    <x:row r="24">
      <x:c r="A24" s="108" t="n">
        <x:v>1</x:v>
      </x:c>
      <x:c r="B24" s="108" t="n">
        <x:v>3</x:v>
      </x:c>
      <x:c r="C24" s="108" t="n">
        <x:v>1</x:v>
      </x:c>
      <x:c r="D24" s="108" t="str">
        <x:v>muCurrentStage</x:v>
      </x:c>
      <x:c r="E24" s="125" t="str">
        <x:v>0.050000000000000003</x:v>
      </x:c>
      <x:c r="F24" s="125" t="str">
        <x:v>0.050000000000000000</x:v>
      </x:c>
      <x:c r="G24" s="125" t="n">
        <x:v>0</x:v>
      </x:c>
      <x:c r="H24" s="108" t="str">
        <x:v>PASS</x:v>
      </x:c>
    </x:row>
    <x:row r="25">
      <x:c r="A25" s="108" t="n">
        <x:v>1</x:v>
      </x:c>
      <x:c r="B25" s="108" t="n">
        <x:v>3</x:v>
      </x:c>
      <x:c r="C25" s="108" t="n">
        <x:v>1</x:v>
      </x:c>
      <x:c r="D25" s="108" t="str">
        <x:v>recoveryMu</x:v>
      </x:c>
      <x:c r="E25" s="125" t="str">
        <x:v>0.050000000000000003</x:v>
      </x:c>
      <x:c r="F25" s="125" t="str">
        <x:v>0.050000000000000000</x:v>
      </x:c>
      <x:c r="G25" s="125" t="n">
        <x:v>0</x:v>
      </x:c>
      <x:c r="H25" s="108" t="str">
        <x:v>PASS</x:v>
      </x:c>
    </x:row>
    <x:row r="26">
      <x:c r="A26" s="108" t="n">
        <x:v>1</x:v>
      </x:c>
      <x:c r="B26" s="108" t="n">
        <x:v>3</x:v>
      </x:c>
      <x:c r="C26" s="108" t="n">
        <x:v>1</x:v>
      </x:c>
      <x:c r="D26" s="108" t="str">
        <x:v>r</x:v>
      </x:c>
      <x:c r="E26" s="125" t="str">
        <x:v>0.29999999999999999</x:v>
      </x:c>
      <x:c r="F26" s="125" t="str">
        <x:v>0.30000000000000000</x:v>
      </x:c>
      <x:c r="G26" s="125" t="n">
        <x:v>0</x:v>
      </x:c>
      <x:c r="H26" s="108" t="str">
        <x:v>PASS</x:v>
      </x:c>
    </x:row>
    <x:row r="27">
      <x:c r="A27" s="108" t="n">
        <x:v>1</x:v>
      </x:c>
      <x:c r="B27" s="108" t="n">
        <x:v>3</x:v>
      </x:c>
      <x:c r="C27" s="108" t="n">
        <x:v>1</x:v>
      </x:c>
      <x:c r="D27" s="108" t="str">
        <x:v>delta</x:v>
      </x:c>
      <x:c r="E27" s="125" t="str">
        <x:v>21.64042561333445</x:v>
      </x:c>
      <x:c r="F27" s="125" t="str">
        <x:v>21.640425613334450</x:v>
      </x:c>
      <x:c r="G27" s="125" t="n">
        <x:v>0</x:v>
      </x:c>
      <x:c r="H27" s="108" t="str">
        <x:v>PASS</x:v>
      </x:c>
    </x:row>
    <x:row r="28">
      <x:c r="A28" s="108" t="n">
        <x:v>1</x:v>
      </x:c>
      <x:c r="B28" s="108" t="n">
        <x:v>3</x:v>
      </x:c>
      <x:c r="C28" s="108" t="n">
        <x:v>1</x:v>
      </x:c>
      <x:c r="D28" s="108" t="str">
        <x:v>baseProcessing</x:v>
      </x:c>
      <x:c r="E28" s="125" t="str">
        <x:v>8</x:v>
      </x:c>
      <x:c r="F28" s="125" t="str">
        <x:v>8.0000000000000000</x:v>
      </x:c>
      <x:c r="G28" s="125" t="n">
        <x:v>0</x:v>
      </x:c>
      <x:c r="H28" s="108" t="str">
        <x:v>PASS</x:v>
      </x:c>
    </x:row>
    <x:row r="29">
      <x:c r="A29" s="108" t="n">
        <x:v>1</x:v>
      </x:c>
      <x:c r="B29" s="108" t="n">
        <x:v>3</x:v>
      </x:c>
      <x:c r="C29" s="108" t="n">
        <x:v>1</x:v>
      </x:c>
      <x:c r="D29" s="108" t="str">
        <x:v>baseSetup</x:v>
      </x:c>
      <x:c r="E29" s="125" t="str">
        <x:v>2</x:v>
      </x:c>
      <x:c r="F29" s="125" t="str">
        <x:v>2.0000000000000000</x:v>
      </x:c>
      <x:c r="G29" s="125" t="n">
        <x:v>0</x:v>
      </x:c>
      <x:c r="H29" s="108" t="str">
        <x:v>PASS</x:v>
      </x:c>
    </x:row>
    <x:row r="30">
      <x:c r="A30" s="108" t="n">
        <x:v>1</x:v>
      </x:c>
      <x:c r="B30" s="108" t="n">
        <x:v>3</x:v>
      </x:c>
      <x:c r="C30" s="108" t="n">
        <x:v>1</x:v>
      </x:c>
      <x:c r="D30" s="108" t="str">
        <x:v>baseAT</x:v>
      </x:c>
      <x:c r="E30" s="125" t="str">
        <x:v>10</x:v>
      </x:c>
      <x:c r="F30" s="125" t="str">
        <x:v>10.000000000000000</x:v>
      </x:c>
      <x:c r="G30" s="125" t="n">
        <x:v>0</x:v>
      </x:c>
      <x:c r="H30" s="108" t="str">
        <x:v>PASS</x:v>
      </x:c>
    </x:row>
    <x:row r="31">
      <x:c r="A31" s="108" t="n">
        <x:v>1</x:v>
      </x:c>
      <x:c r="B31" s="108" t="n">
        <x:v>3</x:v>
      </x:c>
      <x:c r="C31" s="108" t="n">
        <x:v>1</x:v>
      </x:c>
      <x:c r="D31" s="108" t="str">
        <x:v>fatigueMultiplier</x:v>
      </x:c>
      <x:c r="E31" s="125" t="str">
        <x:v>1</x:v>
      </x:c>
      <x:c r="F31" s="125" t="str">
        <x:v>1.0000000000000000</x:v>
      </x:c>
      <x:c r="G31" s="125" t="n">
        <x:v>0</x:v>
      </x:c>
      <x:c r="H31" s="108" t="str">
        <x:v>PASS</x:v>
      </x:c>
    </x:row>
    <x:row r="32">
      <x:c r="A32" s="108" t="n">
        <x:v>1</x:v>
      </x:c>
      <x:c r="B32" s="108" t="n">
        <x:v>3</x:v>
      </x:c>
      <x:c r="C32" s="108" t="n">
        <x:v>1</x:v>
      </x:c>
      <x:c r="D32" s="108" t="str">
        <x:v>actualProcessing</x:v>
      </x:c>
      <x:c r="E32" s="125" t="str">
        <x:v>8</x:v>
      </x:c>
      <x:c r="F32" s="125" t="str">
        <x:v>8.0000000000000000</x:v>
      </x:c>
      <x:c r="G32" s="125" t="n">
        <x:v>0</x:v>
      </x:c>
      <x:c r="H32" s="108" t="str">
        <x:v>PASS</x:v>
      </x:c>
    </x:row>
    <x:row r="33">
      <x:c r="A33" s="108" t="n">
        <x:v>1</x:v>
      </x:c>
      <x:c r="B33" s="108" t="n">
        <x:v>3</x:v>
      </x:c>
      <x:c r="C33" s="108" t="n">
        <x:v>1</x:v>
      </x:c>
      <x:c r="D33" s="108" t="str">
        <x:v>actualSetup</x:v>
      </x:c>
      <x:c r="E33" s="125" t="str">
        <x:v>2</x:v>
      </x:c>
      <x:c r="F33" s="125" t="str">
        <x:v>2.0000000000000000</x:v>
      </x:c>
      <x:c r="G33" s="125" t="n">
        <x:v>0</x:v>
      </x:c>
      <x:c r="H33" s="108" t="str">
        <x:v>PASS</x:v>
      </x:c>
    </x:row>
    <x:row r="34">
      <x:c r="A34" s="108" t="n">
        <x:v>1</x:v>
      </x:c>
      <x:c r="B34" s="108" t="n">
        <x:v>3</x:v>
      </x:c>
      <x:c r="C34" s="108" t="n">
        <x:v>1</x:v>
      </x:c>
      <x:c r="D34" s="108" t="str">
        <x:v>actualAT</x:v>
      </x:c>
      <x:c r="E34" s="125" t="str">
        <x:v>10</x:v>
      </x:c>
      <x:c r="F34" s="125" t="str">
        <x:v>10.000000000000000</x:v>
      </x:c>
      <x:c r="G34" s="125" t="n">
        <x:v>0</x:v>
      </x:c>
      <x:c r="H34" s="108" t="str">
        <x:v>PASS</x:v>
      </x:c>
    </x:row>
    <x:row r="35">
      <x:c r="A35" s="108" t="n">
        <x:v>1</x:v>
      </x:c>
      <x:c r="B35" s="108" t="n">
        <x:v>3</x:v>
      </x:c>
      <x:c r="C35" s="108" t="n">
        <x:v>1</x:v>
      </x:c>
      <x:c r="D35" s="108" t="str">
        <x:v>end</x:v>
      </x:c>
      <x:c r="E35" s="125" t="str">
        <x:v>10</x:v>
      </x:c>
      <x:c r="F35" s="125" t="str">
        <x:v>10.000000000000000</x:v>
      </x:c>
      <x:c r="G35" s="125" t="n">
        <x:v>0</x:v>
      </x:c>
      <x:c r="H35" s="108" t="str">
        <x:v>PASS</x:v>
      </x:c>
    </x:row>
    <x:row r="36">
      <x:c r="A36" s="108" t="n">
        <x:v>1</x:v>
      </x:c>
      <x:c r="B36" s="108" t="n">
        <x:v>3</x:v>
      </x:c>
      <x:c r="C36" s="108" t="n">
        <x:v>1</x:v>
      </x:c>
      <x:c r="D36" s="108" t="str">
        <x:v>fatigueAfter</x:v>
      </x:c>
      <x:c r="E36" s="125" t="str">
        <x:v>0.18126924692201815</x:v>
      </x:c>
      <x:c r="F36" s="125" t="str">
        <x:v>0.18126924692201815</x:v>
      </x:c>
      <x:c r="G36" s="125" t="n">
        <x:v>0</x:v>
      </x:c>
      <x:c r="H36" s="108" t="str">
        <x:v>PASS</x:v>
      </x:c>
    </x:row>
    <x:row r="37">
      <x:c r="A37" s="108" t="n">
        <x:v>1</x:v>
      </x:c>
      <x:c r="B37" s="108" t="n">
        <x:v>3</x:v>
      </x:c>
      <x:c r="C37" s="108" t="n">
        <x:v>1</x:v>
      </x:c>
      <x:c r="D37" s="108" t="str">
        <x:v>machineIdle</x:v>
      </x:c>
      <x:c r="E37" s="125" t="str">
        <x:v>0</x:v>
      </x:c>
      <x:c r="F37" s="125" t="str">
        <x:v>0.0000000000000000</x:v>
      </x:c>
      <x:c r="G37" s="125" t="n">
        <x:v>0</x:v>
      </x:c>
      <x:c r="H37" s="108" t="str">
        <x:v>PASS</x:v>
      </x:c>
    </x:row>
    <x:row r="38">
      <x:c r="A38" s="108" t="n">
        <x:v>1</x:v>
      </x:c>
      <x:c r="B38" s="108" t="n">
        <x:v>3</x:v>
      </x:c>
      <x:c r="C38" s="108" t="n">
        <x:v>1</x:v>
      </x:c>
      <x:c r="D38" s="108" t="str">
        <x:v>energy</x:v>
      </x:c>
      <x:c r="E38" s="125" t="str">
        <x:v>60</x:v>
      </x:c>
      <x:c r="F38" s="125" t="str">
        <x:v>60.000000000000000</x:v>
      </x:c>
      <x:c r="G38" s="125" t="n">
        <x:v>0</x:v>
      </x:c>
      <x:c r="H38" s="108" t="str">
        <x:v>PASS</x:v>
      </x:c>
    </x:row>
    <x:row r="39">
      <x:c r="A39" s="108" t="n">
        <x:v>1</x:v>
      </x:c>
      <x:c r="B39" s="108" t="n">
        <x:v>3</x:v>
      </x:c>
      <x:c r="C39" s="108" t="n">
        <x:v>1</x:v>
      </x:c>
      <x:c r="D39" s="108" t="str">
        <x:v>cost</x:v>
      </x:c>
      <x:c r="E39" s="125" t="str">
        <x:v>100</x:v>
      </x:c>
      <x:c r="F39" s="125" t="str">
        <x:v>100.00000000000000</x:v>
      </x:c>
      <x:c r="G39" s="125" t="n">
        <x:v>0</x:v>
      </x:c>
      <x:c r="H39" s="108" t="str">
        <x:v>PASS</x:v>
      </x:c>
    </x:row>
    <x:row r="40">
      <x:c r="A40" s="108" t="n">
        <x:v>1</x:v>
      </x:c>
      <x:c r="B40" s="108" t="n">
        <x:v>3</x:v>
      </x:c>
      <x:c r="C40" s="108" t="n">
        <x:v>1</x:v>
      </x:c>
      <x:c r="D40" s="108" t="str">
        <x:v>safeThresholdExceeded</x:v>
      </x:c>
      <x:c r="E40" s="125" t="str">
        <x:v>false</x:v>
      </x:c>
      <x:c r="F40" s="125" t="str">
        <x:v>false</x:v>
      </x:c>
      <x:c r="G40" s="125" t="str"/>
      <x:c r="H40" s="108" t="str">
        <x:v>PASS</x:v>
      </x:c>
    </x:row>
    <x:row r="41">
      <x:c r="A41" s="108" t="n">
        <x:v>2</x:v>
      </x:c>
      <x:c r="B41" s="108" t="n">
        <x:v>4</x:v>
      </x:c>
      <x:c r="C41" s="108" t="n">
        <x:v>1</x:v>
      </x:c>
      <x:c r="D41" s="108" t="str">
        <x:v>sequence</x:v>
      </x:c>
      <x:c r="E41" s="125" t="str">
        <x:v>2</x:v>
      </x:c>
      <x:c r="F41" s="125" t="str">
        <x:v>2</x:v>
      </x:c>
      <x:c r="G41" s="125" t="n">
        <x:v>0</x:v>
      </x:c>
      <x:c r="H41" s="108" t="str">
        <x:v>PASS</x:v>
      </x:c>
    </x:row>
    <x:row r="42">
      <x:c r="A42" s="108" t="n">
        <x:v>2</x:v>
      </x:c>
      <x:c r="B42" s="108" t="n">
        <x:v>4</x:v>
      </x:c>
      <x:c r="C42" s="108" t="n">
        <x:v>1</x:v>
      </x:c>
      <x:c r="D42" s="108" t="str">
        <x:v>job</x:v>
      </x:c>
      <x:c r="E42" s="125" t="str">
        <x:v>4</x:v>
      </x:c>
      <x:c r="F42" s="125" t="str">
        <x:v>4</x:v>
      </x:c>
      <x:c r="G42" s="125" t="n">
        <x:v>0</x:v>
      </x:c>
      <x:c r="H42" s="108" t="str">
        <x:v>PASS</x:v>
      </x:c>
    </x:row>
    <x:row r="43">
      <x:c r="A43" s="108" t="n">
        <x:v>2</x:v>
      </x:c>
      <x:c r="B43" s="108" t="n">
        <x:v>4</x:v>
      </x:c>
      <x:c r="C43" s="108" t="n">
        <x:v>1</x:v>
      </x:c>
      <x:c r="D43" s="108" t="str">
        <x:v>stage</x:v>
      </x:c>
      <x:c r="E43" s="125" t="str">
        <x:v>1</x:v>
      </x:c>
      <x:c r="F43" s="125" t="str">
        <x:v>1</x:v>
      </x:c>
      <x:c r="G43" s="125" t="n">
        <x:v>0</x:v>
      </x:c>
      <x:c r="H43" s="108" t="str">
        <x:v>PASS</x:v>
      </x:c>
    </x:row>
    <x:row r="44">
      <x:c r="A44" s="108" t="n">
        <x:v>2</x:v>
      </x:c>
      <x:c r="B44" s="108" t="n">
        <x:v>4</x:v>
      </x:c>
      <x:c r="C44" s="108" t="n">
        <x:v>1</x:v>
      </x:c>
      <x:c r="D44" s="108" t="str">
        <x:v>factory</x:v>
      </x:c>
      <x:c r="E44" s="125" t="str">
        <x:v>1</x:v>
      </x:c>
      <x:c r="F44" s="125" t="str">
        <x:v>1</x:v>
      </x:c>
      <x:c r="G44" s="125" t="n">
        <x:v>0</x:v>
      </x:c>
      <x:c r="H44" s="108" t="str">
        <x:v>PASS</x:v>
      </x:c>
    </x:row>
    <x:row r="45">
      <x:c r="A45" s="108" t="n">
        <x:v>2</x:v>
      </x:c>
      <x:c r="B45" s="108" t="n">
        <x:v>4</x:v>
      </x:c>
      <x:c r="C45" s="108" t="n">
        <x:v>1</x:v>
      </x:c>
      <x:c r="D45" s="108" t="str">
        <x:v>machine</x:v>
      </x:c>
      <x:c r="E45" s="125" t="str">
        <x:v>1</x:v>
      </x:c>
      <x:c r="F45" s="125" t="str">
        <x:v>1</x:v>
      </x:c>
      <x:c r="G45" s="125" t="n">
        <x:v>0</x:v>
      </x:c>
      <x:c r="H45" s="108" t="str">
        <x:v>PASS</x:v>
      </x:c>
    </x:row>
    <x:row r="46">
      <x:c r="A46" s="108" t="n">
        <x:v>2</x:v>
      </x:c>
      <x:c r="B46" s="108" t="n">
        <x:v>4</x:v>
      </x:c>
      <x:c r="C46" s="108" t="n">
        <x:v>1</x:v>
      </x:c>
      <x:c r="D46" s="108" t="str">
        <x:v>worker</x:v>
      </x:c>
      <x:c r="E46" s="125" t="str">
        <x:v>2</x:v>
      </x:c>
      <x:c r="F46" s="125" t="str">
        <x:v>2</x:v>
      </x:c>
      <x:c r="G46" s="125" t="n">
        <x:v>0</x:v>
      </x:c>
      <x:c r="H46" s="108" t="str">
        <x:v>PASS</x:v>
      </x:c>
    </x:row>
    <x:row r="47">
      <x:c r="A47" s="108" t="n">
        <x:v>2</x:v>
      </x:c>
      <x:c r="B47" s="108" t="n">
        <x:v>4</x:v>
      </x:c>
      <x:c r="C47" s="108" t="n">
        <x:v>1</x:v>
      </x:c>
      <x:c r="D47" s="108" t="str">
        <x:v>predecessorCompletion</x:v>
      </x:c>
      <x:c r="E47" s="125" t="str">
        <x:v>0</x:v>
      </x:c>
      <x:c r="F47" s="125" t="str">
        <x:v>0.0000000000000000</x:v>
      </x:c>
      <x:c r="G47" s="125" t="n">
        <x:v>0</x:v>
      </x:c>
      <x:c r="H47" s="108" t="str">
        <x:v>PASS</x:v>
      </x:c>
    </x:row>
    <x:row r="48">
      <x:c r="A48" s="108" t="n">
        <x:v>2</x:v>
      </x:c>
      <x:c r="B48" s="108" t="n">
        <x:v>4</x:v>
      </x:c>
      <x:c r="C48" s="108" t="n">
        <x:v>1</x:v>
      </x:c>
      <x:c r="D48" s="108" t="str">
        <x:v>machineAvailableBefore</x:v>
      </x:c>
      <x:c r="E48" s="125" t="str">
        <x:v>10</x:v>
      </x:c>
      <x:c r="F48" s="125" t="str">
        <x:v>10.000000000000000</x:v>
      </x:c>
      <x:c r="G48" s="125" t="n">
        <x:v>0</x:v>
      </x:c>
      <x:c r="H48" s="108" t="str">
        <x:v>PASS</x:v>
      </x:c>
    </x:row>
    <x:row r="49">
      <x:c r="A49" s="108" t="n">
        <x:v>2</x:v>
      </x:c>
      <x:c r="B49" s="108" t="n">
        <x:v>4</x:v>
      </x:c>
      <x:c r="C49" s="108" t="n">
        <x:v>1</x:v>
      </x:c>
      <x:c r="D49" s="108" t="str">
        <x:v>workerAvailableBefore</x:v>
      </x:c>
      <x:c r="E49" s="125" t="str">
        <x:v>0</x:v>
      </x:c>
      <x:c r="F49" s="125" t="str">
        <x:v>0.0000000000000000</x:v>
      </x:c>
      <x:c r="G49" s="125" t="n">
        <x:v>0</x:v>
      </x:c>
      <x:c r="H49" s="108" t="str">
        <x:v>PASS</x:v>
      </x:c>
    </x:row>
    <x:row r="50">
      <x:c r="A50" s="108" t="n">
        <x:v>2</x:v>
      </x:c>
      <x:c r="B50" s="108" t="n">
        <x:v>4</x:v>
      </x:c>
      <x:c r="C50" s="108" t="n">
        <x:v>1</x:v>
      </x:c>
      <x:c r="D50" s="108" t="str">
        <x:v>start</x:v>
      </x:c>
      <x:c r="E50" s="125" t="str">
        <x:v>10</x:v>
      </x:c>
      <x:c r="F50" s="125" t="str">
        <x:v>10.000000000000000</x:v>
      </x:c>
      <x:c r="G50" s="125" t="n">
        <x:v>0</x:v>
      </x:c>
      <x:c r="H50" s="108" t="str">
        <x:v>PASS</x:v>
      </x:c>
    </x:row>
    <x:row r="51">
      <x:c r="A51" s="108" t="n">
        <x:v>2</x:v>
      </x:c>
      <x:c r="B51" s="108" t="n">
        <x:v>4</x:v>
      </x:c>
      <x:c r="C51" s="108" t="n">
        <x:v>1</x:v>
      </x:c>
      <x:c r="D51" s="108" t="str">
        <x:v>recoveryDuration</x:v>
      </x:c>
      <x:c r="E51" s="125" t="str">
        <x:v>0</x:v>
      </x:c>
      <x:c r="F51" s="125" t="str">
        <x:v>0.0000000000000000</x:v>
      </x:c>
      <x:c r="G51" s="125" t="n">
        <x:v>0</x:v>
      </x:c>
      <x:c r="H51" s="108" t="str">
        <x:v>PASS</x:v>
      </x:c>
    </x:row>
    <x:row r="52">
      <x:c r="A52" s="108" t="n">
        <x:v>2</x:v>
      </x:c>
      <x:c r="B52" s="108" t="n">
        <x:v>4</x:v>
      </x:c>
      <x:c r="C52" s="108" t="n">
        <x:v>1</x:v>
      </x:c>
      <x:c r="D52" s="108" t="str">
        <x:v>fatigueBeforeRecovery</x:v>
      </x:c>
      <x:c r="E52" s="125" t="str">
        <x:v>0</x:v>
      </x:c>
      <x:c r="F52" s="125" t="str">
        <x:v>0.0000000000000000</x:v>
      </x:c>
      <x:c r="G52" s="125" t="n">
        <x:v>0</x:v>
      </x:c>
      <x:c r="H52" s="108" t="str">
        <x:v>PASS</x:v>
      </x:c>
    </x:row>
    <x:row r="53">
      <x:c r="A53" s="108" t="n">
        <x:v>2</x:v>
      </x:c>
      <x:c r="B53" s="108" t="n">
        <x:v>4</x:v>
      </x:c>
      <x:c r="C53" s="108" t="n">
        <x:v>1</x:v>
      </x:c>
      <x:c r="D53" s="108" t="str">
        <x:v>fatigueAtStart</x:v>
      </x:c>
      <x:c r="E53" s="125" t="str">
        <x:v>0</x:v>
      </x:c>
      <x:c r="F53" s="125" t="str">
        <x:v>0.0000000000000000</x:v>
      </x:c>
      <x:c r="G53" s="125" t="n">
        <x:v>0</x:v>
      </x:c>
      <x:c r="H53" s="108" t="str">
        <x:v>PASS</x:v>
      </x:c>
    </x:row>
    <x:row r="54">
      <x:c r="A54" s="108" t="n">
        <x:v>2</x:v>
      </x:c>
      <x:c r="B54" s="108" t="n">
        <x:v>4</x:v>
      </x:c>
      <x:c r="C54" s="108" t="n">
        <x:v>1</x:v>
      </x:c>
      <x:c r="D54" s="108" t="str">
        <x:v>ST</x:v>
      </x:c>
      <x:c r="E54" s="125" t="str">
        <x:v>7</x:v>
      </x:c>
      <x:c r="F54" s="125" t="str">
        <x:v>7</x:v>
      </x:c>
      <x:c r="G54" s="125" t="n">
        <x:v>0</x:v>
      </x:c>
      <x:c r="H54" s="108" t="str">
        <x:v>PASS</x:v>
      </x:c>
    </x:row>
    <x:row r="55">
      <x:c r="A55" s="108" t="n">
        <x:v>2</x:v>
      </x:c>
      <x:c r="B55" s="108" t="n">
        <x:v>4</x:v>
      </x:c>
      <x:c r="C55" s="108" t="n">
        <x:v>1</x:v>
      </x:c>
      <x:c r="D55" s="108" t="str">
        <x:v>SUT</x:v>
      </x:c>
      <x:c r="E55" s="125" t="str">
        <x:v>1</x:v>
      </x:c>
      <x:c r="F55" s="125" t="str">
        <x:v>1</x:v>
      </x:c>
      <x:c r="G55" s="125" t="n">
        <x:v>0</x:v>
      </x:c>
      <x:c r="H55" s="108" t="str">
        <x:v>PASS</x:v>
      </x:c>
    </x:row>
    <x:row r="56">
      <x:c r="A56" s="108" t="n">
        <x:v>2</x:v>
      </x:c>
      <x:c r="B56" s="108" t="n">
        <x:v>4</x:v>
      </x:c>
      <x:c r="C56" s="108" t="n">
        <x:v>1</x:v>
      </x:c>
      <x:c r="D56" s="108" t="str">
        <x:v>machineSpeed</x:v>
      </x:c>
      <x:c r="E56" s="125" t="str">
        <x:v>1</x:v>
      </x:c>
      <x:c r="F56" s="125" t="str">
        <x:v>1.0000000000000000</x:v>
      </x:c>
      <x:c r="G56" s="125" t="n">
        <x:v>0</x:v>
      </x:c>
      <x:c r="H56" s="108" t="str">
        <x:v>PASS</x:v>
      </x:c>
    </x:row>
    <x:row r="57">
      <x:c r="A57" s="108" t="n">
        <x:v>2</x:v>
      </x:c>
      <x:c r="B57" s="108" t="n">
        <x:v>4</x:v>
      </x:c>
      <x:c r="C57" s="108" t="n">
        <x:v>1</x:v>
      </x:c>
      <x:c r="D57" s="108" t="str">
        <x:v>machinePower</x:v>
      </x:c>
      <x:c r="E57" s="125" t="str">
        <x:v>6</x:v>
      </x:c>
      <x:c r="F57" s="125" t="str">
        <x:v>6</x:v>
      </x:c>
      <x:c r="G57" s="125" t="n">
        <x:v>0</x:v>
      </x:c>
      <x:c r="H57" s="108" t="str">
        <x:v>PASS</x:v>
      </x:c>
    </x:row>
    <x:row r="58">
      <x:c r="A58" s="108" t="n">
        <x:v>2</x:v>
      </x:c>
      <x:c r="B58" s="108" t="n">
        <x:v>4</x:v>
      </x:c>
      <x:c r="C58" s="108" t="n">
        <x:v>1</x:v>
      </x:c>
      <x:c r="D58" s="108" t="str">
        <x:v>workerEfficiency</x:v>
      </x:c>
      <x:c r="E58" s="125" t="str">
        <x:v>1</x:v>
      </x:c>
      <x:c r="F58" s="125" t="str">
        <x:v>1.0000000000000000</x:v>
      </x:c>
      <x:c r="G58" s="125" t="n">
        <x:v>0</x:v>
      </x:c>
      <x:c r="H58" s="108" t="str">
        <x:v>PASS</x:v>
      </x:c>
    </x:row>
    <x:row r="59">
      <x:c r="A59" s="108" t="n">
        <x:v>2</x:v>
      </x:c>
      <x:c r="B59" s="108" t="n">
        <x:v>4</x:v>
      </x:c>
      <x:c r="C59" s="108" t="n">
        <x:v>1</x:v>
      </x:c>
      <x:c r="D59" s="108" t="str">
        <x:v>workerCost</x:v>
      </x:c>
      <x:c r="E59" s="125" t="str">
        <x:v>11</x:v>
      </x:c>
      <x:c r="F59" s="125" t="str">
        <x:v>11</x:v>
      </x:c>
      <x:c r="G59" s="125" t="n">
        <x:v>0</x:v>
      </x:c>
      <x:c r="H59" s="108" t="str">
        <x:v>PASS</x:v>
      </x:c>
    </x:row>
    <x:row r="60">
      <x:c r="A60" s="108" t="n">
        <x:v>2</x:v>
      </x:c>
      <x:c r="B60" s="108" t="n">
        <x:v>4</x:v>
      </x:c>
      <x:c r="C60" s="108" t="n">
        <x:v>1</x:v>
      </x:c>
      <x:c r="D60" s="108" t="str">
        <x:v>lambda</x:v>
      </x:c>
      <x:c r="E60" s="125" t="str">
        <x:v>0.025000000000000001</x:v>
      </x:c>
      <x:c r="F60" s="125" t="str">
        <x:v>0.025000000000000000</x:v>
      </x:c>
      <x:c r="G60" s="125" t="n">
        <x:v>0</x:v>
      </x:c>
      <x:c r="H60" s="108" t="str">
        <x:v>PASS</x:v>
      </x:c>
    </x:row>
    <x:row r="61">
      <x:c r="A61" s="108" t="n">
        <x:v>2</x:v>
      </x:c>
      <x:c r="B61" s="108" t="n">
        <x:v>4</x:v>
      </x:c>
      <x:c r="C61" s="108" t="n">
        <x:v>1</x:v>
      </x:c>
      <x:c r="D61" s="108" t="str">
        <x:v>muCurrentStage</x:v>
      </x:c>
      <x:c r="E61" s="125" t="str">
        <x:v>0.040000000000000001</x:v>
      </x:c>
      <x:c r="F61" s="125" t="str">
        <x:v>0.040000000000000000</x:v>
      </x:c>
      <x:c r="G61" s="125" t="n">
        <x:v>0</x:v>
      </x:c>
      <x:c r="H61" s="108" t="str">
        <x:v>PASS</x:v>
      </x:c>
    </x:row>
    <x:row r="62">
      <x:c r="A62" s="108" t="n">
        <x:v>2</x:v>
      </x:c>
      <x:c r="B62" s="108" t="n">
        <x:v>4</x:v>
      </x:c>
      <x:c r="C62" s="108" t="n">
        <x:v>1</x:v>
      </x:c>
      <x:c r="D62" s="108" t="str">
        <x:v>recoveryMu</x:v>
      </x:c>
      <x:c r="E62" s="125" t="str">
        <x:v>0.040000000000000001</x:v>
      </x:c>
      <x:c r="F62" s="125" t="str">
        <x:v>0.040000000000000000</x:v>
      </x:c>
      <x:c r="G62" s="125" t="n">
        <x:v>0</x:v>
      </x:c>
      <x:c r="H62" s="108" t="str">
        <x:v>PASS</x:v>
      </x:c>
    </x:row>
    <x:row r="63">
      <x:c r="A63" s="108" t="n">
        <x:v>2</x:v>
      </x:c>
      <x:c r="B63" s="108" t="n">
        <x:v>4</x:v>
      </x:c>
      <x:c r="C63" s="108" t="n">
        <x:v>1</x:v>
      </x:c>
      <x:c r="D63" s="108" t="str">
        <x:v>r</x:v>
      </x:c>
      <x:c r="E63" s="125" t="str">
        <x:v>0.29999999999999999</x:v>
      </x:c>
      <x:c r="F63" s="125" t="str">
        <x:v>0.30000000000000000</x:v>
      </x:c>
      <x:c r="G63" s="125" t="n">
        <x:v>0</x:v>
      </x:c>
      <x:c r="H63" s="108" t="str">
        <x:v>PASS</x:v>
      </x:c>
    </x:row>
    <x:row r="64">
      <x:c r="A64" s="108" t="n">
        <x:v>2</x:v>
      </x:c>
      <x:c r="B64" s="108" t="n">
        <x:v>4</x:v>
      </x:c>
      <x:c r="C64" s="108" t="n">
        <x:v>1</x:v>
      </x:c>
      <x:c r="D64" s="108" t="str">
        <x:v>delta</x:v>
      </x:c>
      <x:c r="E64" s="125" t="str">
        <x:v>17.312340490667562</x:v>
      </x:c>
      <x:c r="F64" s="125" t="str">
        <x:v>17.312340490667562</x:v>
      </x:c>
      <x:c r="G64" s="125" t="n">
        <x:v>0</x:v>
      </x:c>
      <x:c r="H64" s="108" t="str">
        <x:v>PASS</x:v>
      </x:c>
    </x:row>
    <x:row r="65">
      <x:c r="A65" s="108" t="n">
        <x:v>2</x:v>
      </x:c>
      <x:c r="B65" s="108" t="n">
        <x:v>4</x:v>
      </x:c>
      <x:c r="C65" s="108" t="n">
        <x:v>1</x:v>
      </x:c>
      <x:c r="D65" s="108" t="str">
        <x:v>baseProcessing</x:v>
      </x:c>
      <x:c r="E65" s="125" t="str">
        <x:v>7</x:v>
      </x:c>
      <x:c r="F65" s="125" t="str">
        <x:v>7.0000000000000000</x:v>
      </x:c>
      <x:c r="G65" s="125" t="n">
        <x:v>0</x:v>
      </x:c>
      <x:c r="H65" s="108" t="str">
        <x:v>PASS</x:v>
      </x:c>
    </x:row>
    <x:row r="66">
      <x:c r="A66" s="108" t="n">
        <x:v>2</x:v>
      </x:c>
      <x:c r="B66" s="108" t="n">
        <x:v>4</x:v>
      </x:c>
      <x:c r="C66" s="108" t="n">
        <x:v>1</x:v>
      </x:c>
      <x:c r="D66" s="108" t="str">
        <x:v>baseSetup</x:v>
      </x:c>
      <x:c r="E66" s="125" t="str">
        <x:v>1</x:v>
      </x:c>
      <x:c r="F66" s="125" t="str">
        <x:v>1.0000000000000000</x:v>
      </x:c>
      <x:c r="G66" s="125" t="n">
        <x:v>0</x:v>
      </x:c>
      <x:c r="H66" s="108" t="str">
        <x:v>PASS</x:v>
      </x:c>
    </x:row>
    <x:row r="67">
      <x:c r="A67" s="108" t="n">
        <x:v>2</x:v>
      </x:c>
      <x:c r="B67" s="108" t="n">
        <x:v>4</x:v>
      </x:c>
      <x:c r="C67" s="108" t="n">
        <x:v>1</x:v>
      </x:c>
      <x:c r="D67" s="108" t="str">
        <x:v>baseAT</x:v>
      </x:c>
      <x:c r="E67" s="125" t="str">
        <x:v>8</x:v>
      </x:c>
      <x:c r="F67" s="125" t="str">
        <x:v>8.0000000000000000</x:v>
      </x:c>
      <x:c r="G67" s="125" t="n">
        <x:v>0</x:v>
      </x:c>
      <x:c r="H67" s="108" t="str">
        <x:v>PASS</x:v>
      </x:c>
    </x:row>
    <x:row r="68">
      <x:c r="A68" s="108" t="n">
        <x:v>2</x:v>
      </x:c>
      <x:c r="B68" s="108" t="n">
        <x:v>4</x:v>
      </x:c>
      <x:c r="C68" s="108" t="n">
        <x:v>1</x:v>
      </x:c>
      <x:c r="D68" s="108" t="str">
        <x:v>fatigueMultiplier</x:v>
      </x:c>
      <x:c r="E68" s="125" t="str">
        <x:v>1</x:v>
      </x:c>
      <x:c r="F68" s="125" t="str">
        <x:v>1.0000000000000000</x:v>
      </x:c>
      <x:c r="G68" s="125" t="n">
        <x:v>0</x:v>
      </x:c>
      <x:c r="H68" s="108" t="str">
        <x:v>PASS</x:v>
      </x:c>
    </x:row>
    <x:row r="69">
      <x:c r="A69" s="108" t="n">
        <x:v>2</x:v>
      </x:c>
      <x:c r="B69" s="108" t="n">
        <x:v>4</x:v>
      </x:c>
      <x:c r="C69" s="108" t="n">
        <x:v>1</x:v>
      </x:c>
      <x:c r="D69" s="108" t="str">
        <x:v>actualProcessing</x:v>
      </x:c>
      <x:c r="E69" s="125" t="str">
        <x:v>7</x:v>
      </x:c>
      <x:c r="F69" s="125" t="str">
        <x:v>7.0000000000000000</x:v>
      </x:c>
      <x:c r="G69" s="125" t="n">
        <x:v>0</x:v>
      </x:c>
      <x:c r="H69" s="108" t="str">
        <x:v>PASS</x:v>
      </x:c>
    </x:row>
    <x:row r="70">
      <x:c r="A70" s="108" t="n">
        <x:v>2</x:v>
      </x:c>
      <x:c r="B70" s="108" t="n">
        <x:v>4</x:v>
      </x:c>
      <x:c r="C70" s="108" t="n">
        <x:v>1</x:v>
      </x:c>
      <x:c r="D70" s="108" t="str">
        <x:v>actualSetup</x:v>
      </x:c>
      <x:c r="E70" s="125" t="str">
        <x:v>1</x:v>
      </x:c>
      <x:c r="F70" s="125" t="str">
        <x:v>1.0000000000000000</x:v>
      </x:c>
      <x:c r="G70" s="125" t="n">
        <x:v>0</x:v>
      </x:c>
      <x:c r="H70" s="108" t="str">
        <x:v>PASS</x:v>
      </x:c>
    </x:row>
    <x:row r="71">
      <x:c r="A71" s="108" t="n">
        <x:v>2</x:v>
      </x:c>
      <x:c r="B71" s="108" t="n">
        <x:v>4</x:v>
      </x:c>
      <x:c r="C71" s="108" t="n">
        <x:v>1</x:v>
      </x:c>
      <x:c r="D71" s="108" t="str">
        <x:v>actualAT</x:v>
      </x:c>
      <x:c r="E71" s="125" t="str">
        <x:v>8</x:v>
      </x:c>
      <x:c r="F71" s="125" t="str">
        <x:v>8.0000000000000000</x:v>
      </x:c>
      <x:c r="G71" s="125" t="n">
        <x:v>0</x:v>
      </x:c>
      <x:c r="H71" s="108" t="str">
        <x:v>PASS</x:v>
      </x:c>
    </x:row>
    <x:row r="72">
      <x:c r="A72" s="108" t="n">
        <x:v>2</x:v>
      </x:c>
      <x:c r="B72" s="108" t="n">
        <x:v>4</x:v>
      </x:c>
      <x:c r="C72" s="108" t="n">
        <x:v>1</x:v>
      </x:c>
      <x:c r="D72" s="108" t="str">
        <x:v>end</x:v>
      </x:c>
      <x:c r="E72" s="125" t="str">
        <x:v>18</x:v>
      </x:c>
      <x:c r="F72" s="125" t="str">
        <x:v>18.000000000000000</x:v>
      </x:c>
      <x:c r="G72" s="125" t="n">
        <x:v>0</x:v>
      </x:c>
      <x:c r="H72" s="108" t="str">
        <x:v>PASS</x:v>
      </x:c>
    </x:row>
    <x:row r="73">
      <x:c r="A73" s="108" t="n">
        <x:v>2</x:v>
      </x:c>
      <x:c r="B73" s="108" t="n">
        <x:v>4</x:v>
      </x:c>
      <x:c r="C73" s="108" t="n">
        <x:v>1</x:v>
      </x:c>
      <x:c r="D73" s="108" t="str">
        <x:v>fatigueAfter</x:v>
      </x:c>
      <x:c r="E73" s="125" t="str">
        <x:v>0.18126924692201815</x:v>
      </x:c>
      <x:c r="F73" s="125" t="str">
        <x:v>0.18126924692201815</x:v>
      </x:c>
      <x:c r="G73" s="125" t="n">
        <x:v>0</x:v>
      </x:c>
      <x:c r="H73" s="108" t="str">
        <x:v>PASS</x:v>
      </x:c>
    </x:row>
    <x:row r="74">
      <x:c r="A74" s="108" t="n">
        <x:v>2</x:v>
      </x:c>
      <x:c r="B74" s="108" t="n">
        <x:v>4</x:v>
      </x:c>
      <x:c r="C74" s="108" t="n">
        <x:v>1</x:v>
      </x:c>
      <x:c r="D74" s="108" t="str">
        <x:v>machineIdle</x:v>
      </x:c>
      <x:c r="E74" s="125" t="str">
        <x:v>0</x:v>
      </x:c>
      <x:c r="F74" s="125" t="str">
        <x:v>0.0000000000000000</x:v>
      </x:c>
      <x:c r="G74" s="125" t="n">
        <x:v>0</x:v>
      </x:c>
      <x:c r="H74" s="108" t="str">
        <x:v>PASS</x:v>
      </x:c>
    </x:row>
    <x:row r="75">
      <x:c r="A75" s="108" t="n">
        <x:v>2</x:v>
      </x:c>
      <x:c r="B75" s="108" t="n">
        <x:v>4</x:v>
      </x:c>
      <x:c r="C75" s="108" t="n">
        <x:v>1</x:v>
      </x:c>
      <x:c r="D75" s="108" t="str">
        <x:v>energy</x:v>
      </x:c>
      <x:c r="E75" s="125" t="str">
        <x:v>48</x:v>
      </x:c>
      <x:c r="F75" s="125" t="str">
        <x:v>48.000000000000000</x:v>
      </x:c>
      <x:c r="G75" s="125" t="n">
        <x:v>0</x:v>
      </x:c>
      <x:c r="H75" s="108" t="str">
        <x:v>PASS</x:v>
      </x:c>
    </x:row>
    <x:row r="76">
      <x:c r="A76" s="108" t="n">
        <x:v>2</x:v>
      </x:c>
      <x:c r="B76" s="108" t="n">
        <x:v>4</x:v>
      </x:c>
      <x:c r="C76" s="108" t="n">
        <x:v>1</x:v>
      </x:c>
      <x:c r="D76" s="108" t="str">
        <x:v>cost</x:v>
      </x:c>
      <x:c r="E76" s="125" t="str">
        <x:v>88</x:v>
      </x:c>
      <x:c r="F76" s="125" t="str">
        <x:v>88.000000000000000</x:v>
      </x:c>
      <x:c r="G76" s="125" t="n">
        <x:v>0</x:v>
      </x:c>
      <x:c r="H76" s="108" t="str">
        <x:v>PASS</x:v>
      </x:c>
    </x:row>
    <x:row r="77">
      <x:c r="A77" s="108" t="n">
        <x:v>2</x:v>
      </x:c>
      <x:c r="B77" s="108" t="n">
        <x:v>4</x:v>
      </x:c>
      <x:c r="C77" s="108" t="n">
        <x:v>1</x:v>
      </x:c>
      <x:c r="D77" s="108" t="str">
        <x:v>safeThresholdExceeded</x:v>
      </x:c>
      <x:c r="E77" s="125" t="str">
        <x:v>false</x:v>
      </x:c>
      <x:c r="F77" s="125" t="str">
        <x:v>false</x:v>
      </x:c>
      <x:c r="G77" s="125" t="str"/>
      <x:c r="H77" s="108" t="str">
        <x:v>PASS</x:v>
      </x:c>
    </x:row>
    <x:row r="78">
      <x:c r="A78" s="108" t="n">
        <x:v>3</x:v>
      </x:c>
      <x:c r="B78" s="108" t="n">
        <x:v>5</x:v>
      </x:c>
      <x:c r="C78" s="108" t="n">
        <x:v>1</x:v>
      </x:c>
      <x:c r="D78" s="108" t="str">
        <x:v>sequence</x:v>
      </x:c>
      <x:c r="E78" s="125" t="str">
        <x:v>3</x:v>
      </x:c>
      <x:c r="F78" s="125" t="str">
        <x:v>3</x:v>
      </x:c>
      <x:c r="G78" s="125" t="n">
        <x:v>0</x:v>
      </x:c>
      <x:c r="H78" s="108" t="str">
        <x:v>PASS</x:v>
      </x:c>
    </x:row>
    <x:row r="79">
      <x:c r="A79" s="108" t="n">
        <x:v>3</x:v>
      </x:c>
      <x:c r="B79" s="108" t="n">
        <x:v>5</x:v>
      </x:c>
      <x:c r="C79" s="108" t="n">
        <x:v>1</x:v>
      </x:c>
      <x:c r="D79" s="108" t="str">
        <x:v>job</x:v>
      </x:c>
      <x:c r="E79" s="125" t="str">
        <x:v>5</x:v>
      </x:c>
      <x:c r="F79" s="125" t="str">
        <x:v>5</x:v>
      </x:c>
      <x:c r="G79" s="125" t="n">
        <x:v>0</x:v>
      </x:c>
      <x:c r="H79" s="108" t="str">
        <x:v>PASS</x:v>
      </x:c>
    </x:row>
    <x:row r="80">
      <x:c r="A80" s="108" t="n">
        <x:v>3</x:v>
      </x:c>
      <x:c r="B80" s="108" t="n">
        <x:v>5</x:v>
      </x:c>
      <x:c r="C80" s="108" t="n">
        <x:v>1</x:v>
      </x:c>
      <x:c r="D80" s="108" t="str">
        <x:v>stage</x:v>
      </x:c>
      <x:c r="E80" s="125" t="str">
        <x:v>1</x:v>
      </x:c>
      <x:c r="F80" s="125" t="str">
        <x:v>1</x:v>
      </x:c>
      <x:c r="G80" s="125" t="n">
        <x:v>0</x:v>
      </x:c>
      <x:c r="H80" s="108" t="str">
        <x:v>PASS</x:v>
      </x:c>
    </x:row>
    <x:row r="81">
      <x:c r="A81" s="108" t="n">
        <x:v>3</x:v>
      </x:c>
      <x:c r="B81" s="108" t="n">
        <x:v>5</x:v>
      </x:c>
      <x:c r="C81" s="108" t="n">
        <x:v>1</x:v>
      </x:c>
      <x:c r="D81" s="108" t="str">
        <x:v>factory</x:v>
      </x:c>
      <x:c r="E81" s="125" t="str">
        <x:v>1</x:v>
      </x:c>
      <x:c r="F81" s="125" t="str">
        <x:v>1</x:v>
      </x:c>
      <x:c r="G81" s="125" t="n">
        <x:v>0</x:v>
      </x:c>
      <x:c r="H81" s="108" t="str">
        <x:v>PASS</x:v>
      </x:c>
    </x:row>
    <x:row r="82">
      <x:c r="A82" s="108" t="n">
        <x:v>3</x:v>
      </x:c>
      <x:c r="B82" s="108" t="n">
        <x:v>5</x:v>
      </x:c>
      <x:c r="C82" s="108" t="n">
        <x:v>1</x:v>
      </x:c>
      <x:c r="D82" s="108" t="str">
        <x:v>machine</x:v>
      </x:c>
      <x:c r="E82" s="125" t="str">
        <x:v>2</x:v>
      </x:c>
      <x:c r="F82" s="125" t="str">
        <x:v>2</x:v>
      </x:c>
      <x:c r="G82" s="125" t="n">
        <x:v>0</x:v>
      </x:c>
      <x:c r="H82" s="108" t="str">
        <x:v>PASS</x:v>
      </x:c>
    </x:row>
    <x:row r="83">
      <x:c r="A83" s="108" t="n">
        <x:v>3</x:v>
      </x:c>
      <x:c r="B83" s="108" t="n">
        <x:v>5</x:v>
      </x:c>
      <x:c r="C83" s="108" t="n">
        <x:v>1</x:v>
      </x:c>
      <x:c r="D83" s="108" t="str">
        <x:v>worker</x:v>
      </x:c>
      <x:c r="E83" s="125" t="str">
        <x:v>2</x:v>
      </x:c>
      <x:c r="F83" s="125" t="str">
        <x:v>2</x:v>
      </x:c>
      <x:c r="G83" s="125" t="n">
        <x:v>0</x:v>
      </x:c>
      <x:c r="H83" s="108" t="str">
        <x:v>PASS</x:v>
      </x:c>
    </x:row>
    <x:row r="84">
      <x:c r="A84" s="108" t="n">
        <x:v>3</x:v>
      </x:c>
      <x:c r="B84" s="108" t="n">
        <x:v>5</x:v>
      </x:c>
      <x:c r="C84" s="108" t="n">
        <x:v>1</x:v>
      </x:c>
      <x:c r="D84" s="108" t="str">
        <x:v>predecessorCompletion</x:v>
      </x:c>
      <x:c r="E84" s="125" t="str">
        <x:v>0</x:v>
      </x:c>
      <x:c r="F84" s="125" t="str">
        <x:v>0.0000000000000000</x:v>
      </x:c>
      <x:c r="G84" s="125" t="n">
        <x:v>0</x:v>
      </x:c>
      <x:c r="H84" s="108" t="str">
        <x:v>PASS</x:v>
      </x:c>
    </x:row>
    <x:row r="85">
      <x:c r="A85" s="108" t="n">
        <x:v>3</x:v>
      </x:c>
      <x:c r="B85" s="108" t="n">
        <x:v>5</x:v>
      </x:c>
      <x:c r="C85" s="108" t="n">
        <x:v>1</x:v>
      </x:c>
      <x:c r="D85" s="108" t="str">
        <x:v>machineAvailableBefore</x:v>
      </x:c>
      <x:c r="E85" s="125" t="str">
        <x:v>0</x:v>
      </x:c>
      <x:c r="F85" s="125" t="str">
        <x:v>0.0000000000000000</x:v>
      </x:c>
      <x:c r="G85" s="125" t="n">
        <x:v>0</x:v>
      </x:c>
      <x:c r="H85" s="108" t="str">
        <x:v>PASS</x:v>
      </x:c>
    </x:row>
    <x:row r="86">
      <x:c r="A86" s="108" t="n">
        <x:v>3</x:v>
      </x:c>
      <x:c r="B86" s="108" t="n">
        <x:v>5</x:v>
      </x:c>
      <x:c r="C86" s="108" t="n">
        <x:v>1</x:v>
      </x:c>
      <x:c r="D86" s="108" t="str">
        <x:v>workerAvailableBefore</x:v>
      </x:c>
      <x:c r="E86" s="125" t="str">
        <x:v>18</x:v>
      </x:c>
      <x:c r="F86" s="125" t="str">
        <x:v>18.000000000000000</x:v>
      </x:c>
      <x:c r="G86" s="125" t="n">
        <x:v>0</x:v>
      </x:c>
      <x:c r="H86" s="108" t="str">
        <x:v>PASS</x:v>
      </x:c>
    </x:row>
    <x:row r="87">
      <x:c r="A87" s="108" t="n">
        <x:v>3</x:v>
      </x:c>
      <x:c r="B87" s="108" t="n">
        <x:v>5</x:v>
      </x:c>
      <x:c r="C87" s="108" t="n">
        <x:v>1</x:v>
      </x:c>
      <x:c r="D87" s="108" t="str">
        <x:v>start</x:v>
      </x:c>
      <x:c r="E87" s="125" t="str">
        <x:v>18</x:v>
      </x:c>
      <x:c r="F87" s="125" t="str">
        <x:v>18.000000000000000</x:v>
      </x:c>
      <x:c r="G87" s="125" t="n">
        <x:v>0</x:v>
      </x:c>
      <x:c r="H87" s="108" t="str">
        <x:v>PASS</x:v>
      </x:c>
    </x:row>
    <x:row r="88">
      <x:c r="A88" s="108" t="n">
        <x:v>3</x:v>
      </x:c>
      <x:c r="B88" s="108" t="n">
        <x:v>5</x:v>
      </x:c>
      <x:c r="C88" s="108" t="n">
        <x:v>1</x:v>
      </x:c>
      <x:c r="D88" s="108" t="str">
        <x:v>recoveryDuration</x:v>
      </x:c>
      <x:c r="E88" s="125" t="str">
        <x:v>0</x:v>
      </x:c>
      <x:c r="F88" s="125" t="str">
        <x:v>0.0000000000000000</x:v>
      </x:c>
      <x:c r="G88" s="125" t="n">
        <x:v>0</x:v>
      </x:c>
      <x:c r="H88" s="108" t="str">
        <x:v>PASS</x:v>
      </x:c>
    </x:row>
    <x:row r="89">
      <x:c r="A89" s="108" t="n">
        <x:v>3</x:v>
      </x:c>
      <x:c r="B89" s="108" t="n">
        <x:v>5</x:v>
      </x:c>
      <x:c r="C89" s="108" t="n">
        <x:v>1</x:v>
      </x:c>
      <x:c r="D89" s="108" t="str">
        <x:v>fatigueBeforeRecovery</x:v>
      </x:c>
      <x:c r="E89" s="125" t="str">
        <x:v>0.18126924692201815</x:v>
      </x:c>
      <x:c r="F89" s="125" t="str">
        <x:v>0.18126924692201815</x:v>
      </x:c>
      <x:c r="G89" s="125" t="n">
        <x:v>0</x:v>
      </x:c>
      <x:c r="H89" s="108" t="str">
        <x:v>PASS</x:v>
      </x:c>
    </x:row>
    <x:row r="90">
      <x:c r="A90" s="108" t="n">
        <x:v>3</x:v>
      </x:c>
      <x:c r="B90" s="108" t="n">
        <x:v>5</x:v>
      </x:c>
      <x:c r="C90" s="108" t="n">
        <x:v>1</x:v>
      </x:c>
      <x:c r="D90" s="108" t="str">
        <x:v>fatigueAtStart</x:v>
      </x:c>
      <x:c r="E90" s="125" t="str">
        <x:v>0.18126924692201815</x:v>
      </x:c>
      <x:c r="F90" s="125" t="str">
        <x:v>0.18126924692201815</x:v>
      </x:c>
      <x:c r="G90" s="125" t="n">
        <x:v>0</x:v>
      </x:c>
      <x:c r="H90" s="108" t="str">
        <x:v>PASS</x:v>
      </x:c>
    </x:row>
    <x:row r="91">
      <x:c r="A91" s="108" t="n">
        <x:v>3</x:v>
      </x:c>
      <x:c r="B91" s="108" t="n">
        <x:v>5</x:v>
      </x:c>
      <x:c r="C91" s="108" t="n">
        <x:v>1</x:v>
      </x:c>
      <x:c r="D91" s="108" t="str">
        <x:v>ST</x:v>
      </x:c>
      <x:c r="E91" s="125" t="str">
        <x:v>5</x:v>
      </x:c>
      <x:c r="F91" s="125" t="str">
        <x:v>5</x:v>
      </x:c>
      <x:c r="G91" s="125" t="n">
        <x:v>0</x:v>
      </x:c>
      <x:c r="H91" s="108" t="str">
        <x:v>PASS</x:v>
      </x:c>
    </x:row>
    <x:row r="92">
      <x:c r="A92" s="108" t="n">
        <x:v>3</x:v>
      </x:c>
      <x:c r="B92" s="108" t="n">
        <x:v>5</x:v>
      </x:c>
      <x:c r="C92" s="108" t="n">
        <x:v>1</x:v>
      </x:c>
      <x:c r="D92" s="108" t="str">
        <x:v>SUT</x:v>
      </x:c>
      <x:c r="E92" s="125" t="str">
        <x:v>1</x:v>
      </x:c>
      <x:c r="F92" s="125" t="str">
        <x:v>1</x:v>
      </x:c>
      <x:c r="G92" s="125" t="n">
        <x:v>0</x:v>
      </x:c>
      <x:c r="H92" s="108" t="str">
        <x:v>PASS</x:v>
      </x:c>
    </x:row>
    <x:row r="93">
      <x:c r="A93" s="108" t="n">
        <x:v>3</x:v>
      </x:c>
      <x:c r="B93" s="108" t="n">
        <x:v>5</x:v>
      </x:c>
      <x:c r="C93" s="108" t="n">
        <x:v>1</x:v>
      </x:c>
      <x:c r="D93" s="108" t="str">
        <x:v>machineSpeed</x:v>
      </x:c>
      <x:c r="E93" s="125" t="str">
        <x:v>1.25</x:v>
      </x:c>
      <x:c r="F93" s="125" t="str">
        <x:v>1.2500000000000000</x:v>
      </x:c>
      <x:c r="G93" s="125" t="n">
        <x:v>0</x:v>
      </x:c>
      <x:c r="H93" s="108" t="str">
        <x:v>PASS</x:v>
      </x:c>
    </x:row>
    <x:row r="94">
      <x:c r="A94" s="108" t="n">
        <x:v>3</x:v>
      </x:c>
      <x:c r="B94" s="108" t="n">
        <x:v>5</x:v>
      </x:c>
      <x:c r="C94" s="108" t="n">
        <x:v>1</x:v>
      </x:c>
      <x:c r="D94" s="108" t="str">
        <x:v>machinePower</x:v>
      </x:c>
      <x:c r="E94" s="125" t="str">
        <x:v>8</x:v>
      </x:c>
      <x:c r="F94" s="125" t="str">
        <x:v>8</x:v>
      </x:c>
      <x:c r="G94" s="125" t="n">
        <x:v>0</x:v>
      </x:c>
      <x:c r="H94" s="108" t="str">
        <x:v>PASS</x:v>
      </x:c>
    </x:row>
    <x:row r="95">
      <x:c r="A95" s="108" t="n">
        <x:v>3</x:v>
      </x:c>
      <x:c r="B95" s="108" t="n">
        <x:v>5</x:v>
      </x:c>
      <x:c r="C95" s="108" t="n">
        <x:v>1</x:v>
      </x:c>
      <x:c r="D95" s="108" t="str">
        <x:v>workerEfficiency</x:v>
      </x:c>
      <x:c r="E95" s="125" t="str">
        <x:v>1</x:v>
      </x:c>
      <x:c r="F95" s="125" t="str">
        <x:v>1.0000000000000000</x:v>
      </x:c>
      <x:c r="G95" s="125" t="n">
        <x:v>0</x:v>
      </x:c>
      <x:c r="H95" s="108" t="str">
        <x:v>PASS</x:v>
      </x:c>
    </x:row>
    <x:row r="96">
      <x:c r="A96" s="108" t="n">
        <x:v>3</x:v>
      </x:c>
      <x:c r="B96" s="108" t="n">
        <x:v>5</x:v>
      </x:c>
      <x:c r="C96" s="108" t="n">
        <x:v>1</x:v>
      </x:c>
      <x:c r="D96" s="108" t="str">
        <x:v>workerCost</x:v>
      </x:c>
      <x:c r="E96" s="125" t="str">
        <x:v>11</x:v>
      </x:c>
      <x:c r="F96" s="125" t="str">
        <x:v>11</x:v>
      </x:c>
      <x:c r="G96" s="125" t="n">
        <x:v>0</x:v>
      </x:c>
      <x:c r="H96" s="108" t="str">
        <x:v>PASS</x:v>
      </x:c>
    </x:row>
    <x:row r="97">
      <x:c r="A97" s="108" t="n">
        <x:v>3</x:v>
      </x:c>
      <x:c r="B97" s="108" t="n">
        <x:v>5</x:v>
      </x:c>
      <x:c r="C97" s="108" t="n">
        <x:v>1</x:v>
      </x:c>
      <x:c r="D97" s="108" t="str">
        <x:v>lambda</x:v>
      </x:c>
      <x:c r="E97" s="125" t="str">
        <x:v>0.025000000000000001</x:v>
      </x:c>
      <x:c r="F97" s="125" t="str">
        <x:v>0.025000000000000000</x:v>
      </x:c>
      <x:c r="G97" s="125" t="n">
        <x:v>0</x:v>
      </x:c>
      <x:c r="H97" s="108" t="str">
        <x:v>PASS</x:v>
      </x:c>
    </x:row>
    <x:row r="98">
      <x:c r="A98" s="108" t="n">
        <x:v>3</x:v>
      </x:c>
      <x:c r="B98" s="108" t="n">
        <x:v>5</x:v>
      </x:c>
      <x:c r="C98" s="108" t="n">
        <x:v>1</x:v>
      </x:c>
      <x:c r="D98" s="108" t="str">
        <x:v>muCurrentStage</x:v>
      </x:c>
      <x:c r="E98" s="125" t="str">
        <x:v>0.040000000000000001</x:v>
      </x:c>
      <x:c r="F98" s="125" t="str">
        <x:v>0.040000000000000000</x:v>
      </x:c>
      <x:c r="G98" s="125" t="n">
        <x:v>0</x:v>
      </x:c>
      <x:c r="H98" s="108" t="str">
        <x:v>PASS</x:v>
      </x:c>
    </x:row>
    <x:row r="99">
      <x:c r="A99" s="108" t="n">
        <x:v>3</x:v>
      </x:c>
      <x:c r="B99" s="108" t="n">
        <x:v>5</x:v>
      </x:c>
      <x:c r="C99" s="108" t="n">
        <x:v>1</x:v>
      </x:c>
      <x:c r="D99" s="108" t="str">
        <x:v>recoveryMu</x:v>
      </x:c>
      <x:c r="E99" s="125" t="str">
        <x:v>0.040000000000000001</x:v>
      </x:c>
      <x:c r="F99" s="125" t="str">
        <x:v>0.040000000000000000</x:v>
      </x:c>
      <x:c r="G99" s="125" t="n">
        <x:v>0</x:v>
      </x:c>
      <x:c r="H99" s="108" t="str">
        <x:v>PASS</x:v>
      </x:c>
    </x:row>
    <x:row r="100">
      <x:c r="A100" s="108" t="n">
        <x:v>3</x:v>
      </x:c>
      <x:c r="B100" s="108" t="n">
        <x:v>5</x:v>
      </x:c>
      <x:c r="C100" s="108" t="n">
        <x:v>1</x:v>
      </x:c>
      <x:c r="D100" s="108" t="str">
        <x:v>r</x:v>
      </x:c>
      <x:c r="E100" s="125" t="str">
        <x:v>0.29999999999999999</x:v>
      </x:c>
      <x:c r="F100" s="125" t="str">
        <x:v>0.30000000000000000</x:v>
      </x:c>
      <x:c r="G100" s="125" t="n">
        <x:v>0</x:v>
      </x:c>
      <x:c r="H100" s="108" t="str">
        <x:v>PASS</x:v>
      </x:c>
    </x:row>
    <x:row r="101">
      <x:c r="A101" s="108" t="n">
        <x:v>3</x:v>
      </x:c>
      <x:c r="B101" s="108" t="n">
        <x:v>5</x:v>
      </x:c>
      <x:c r="C101" s="108" t="n">
        <x:v>1</x:v>
      </x:c>
      <x:c r="D101" s="108" t="str">
        <x:v>delta</x:v>
      </x:c>
      <x:c r="E101" s="125" t="str">
        <x:v>17.312340490667562</x:v>
      </x:c>
      <x:c r="F101" s="125" t="str">
        <x:v>17.312340490667562</x:v>
      </x:c>
      <x:c r="G101" s="125" t="n">
        <x:v>0</x:v>
      </x:c>
      <x:c r="H101" s="108" t="str">
        <x:v>PASS</x:v>
      </x:c>
    </x:row>
    <x:row r="102">
      <x:c r="A102" s="108" t="n">
        <x:v>3</x:v>
      </x:c>
      <x:c r="B102" s="108" t="n">
        <x:v>5</x:v>
      </x:c>
      <x:c r="C102" s="108" t="n">
        <x:v>1</x:v>
      </x:c>
      <x:c r="D102" s="108" t="str">
        <x:v>baseProcessing</x:v>
      </x:c>
      <x:c r="E102" s="125" t="str">
        <x:v>4</x:v>
      </x:c>
      <x:c r="F102" s="125" t="str">
        <x:v>4.0000000000000000</x:v>
      </x:c>
      <x:c r="G102" s="125" t="n">
        <x:v>0</x:v>
      </x:c>
      <x:c r="H102" s="108" t="str">
        <x:v>PASS</x:v>
      </x:c>
    </x:row>
    <x:row r="103">
      <x:c r="A103" s="108" t="n">
        <x:v>3</x:v>
      </x:c>
      <x:c r="B103" s="108" t="n">
        <x:v>5</x:v>
      </x:c>
      <x:c r="C103" s="108" t="n">
        <x:v>1</x:v>
      </x:c>
      <x:c r="D103" s="108" t="str">
        <x:v>baseSetup</x:v>
      </x:c>
      <x:c r="E103" s="125" t="str">
        <x:v>1</x:v>
      </x:c>
      <x:c r="F103" s="125" t="str">
        <x:v>1.0000000000000000</x:v>
      </x:c>
      <x:c r="G103" s="125" t="n">
        <x:v>0</x:v>
      </x:c>
      <x:c r="H103" s="108" t="str">
        <x:v>PASS</x:v>
      </x:c>
    </x:row>
    <x:row r="104">
      <x:c r="A104" s="108" t="n">
        <x:v>3</x:v>
      </x:c>
      <x:c r="B104" s="108" t="n">
        <x:v>5</x:v>
      </x:c>
      <x:c r="C104" s="108" t="n">
        <x:v>1</x:v>
      </x:c>
      <x:c r="D104" s="108" t="str">
        <x:v>baseAT</x:v>
      </x:c>
      <x:c r="E104" s="125" t="str">
        <x:v>5</x:v>
      </x:c>
      <x:c r="F104" s="125" t="str">
        <x:v>5.0000000000000000</x:v>
      </x:c>
      <x:c r="G104" s="125" t="n">
        <x:v>0</x:v>
      </x:c>
      <x:c r="H104" s="108" t="str">
        <x:v>PASS</x:v>
      </x:c>
    </x:row>
    <x:row r="105">
      <x:c r="A105" s="108" t="n">
        <x:v>3</x:v>
      </x:c>
      <x:c r="B105" s="108" t="n">
        <x:v>5</x:v>
      </x:c>
      <x:c r="C105" s="108" t="n">
        <x:v>1</x:v>
      </x:c>
      <x:c r="D105" s="108" t="str">
        <x:v>fatigueMultiplier</x:v>
      </x:c>
      <x:c r="E105" s="125" t="str">
        <x:v>1.0721013507906485</x:v>
      </x:c>
      <x:c r="F105" s="125" t="str">
        <x:v>1.0721013507906485</x:v>
      </x:c>
      <x:c r="G105" s="125" t="n">
        <x:v>0</x:v>
      </x:c>
      <x:c r="H105" s="108" t="str">
        <x:v>PASS</x:v>
      </x:c>
    </x:row>
    <x:row r="106">
      <x:c r="A106" s="108" t="n">
        <x:v>3</x:v>
      </x:c>
      <x:c r="B106" s="108" t="n">
        <x:v>5</x:v>
      </x:c>
      <x:c r="C106" s="108" t="n">
        <x:v>1</x:v>
      </x:c>
      <x:c r="D106" s="108" t="str">
        <x:v>actualProcessing</x:v>
      </x:c>
      <x:c r="E106" s="125" t="str">
        <x:v>4.288405403162594</x:v>
      </x:c>
      <x:c r="F106" s="125" t="str">
        <x:v>4.2884054031625940</x:v>
      </x:c>
      <x:c r="G106" s="125" t="n">
        <x:v>0</x:v>
      </x:c>
      <x:c r="H106" s="108" t="str">
        <x:v>PASS</x:v>
      </x:c>
    </x:row>
    <x:row r="107">
      <x:c r="A107" s="108" t="n">
        <x:v>3</x:v>
      </x:c>
      <x:c r="B107" s="108" t="n">
        <x:v>5</x:v>
      </x:c>
      <x:c r="C107" s="108" t="n">
        <x:v>1</x:v>
      </x:c>
      <x:c r="D107" s="108" t="str">
        <x:v>actualSetup</x:v>
      </x:c>
      <x:c r="E107" s="125" t="str">
        <x:v>1.0721013507906485</x:v>
      </x:c>
      <x:c r="F107" s="125" t="str">
        <x:v>1.0721013507906485</x:v>
      </x:c>
      <x:c r="G107" s="125" t="n">
        <x:v>0</x:v>
      </x:c>
      <x:c r="H107" s="108" t="str">
        <x:v>PASS</x:v>
      </x:c>
    </x:row>
    <x:row r="108">
      <x:c r="A108" s="108" t="n">
        <x:v>3</x:v>
      </x:c>
      <x:c r="B108" s="108" t="n">
        <x:v>5</x:v>
      </x:c>
      <x:c r="C108" s="108" t="n">
        <x:v>1</x:v>
      </x:c>
      <x:c r="D108" s="108" t="str">
        <x:v>actualAT</x:v>
      </x:c>
      <x:c r="E108" s="125" t="str">
        <x:v>5.3605067539532421</x:v>
      </x:c>
      <x:c r="F108" s="125" t="str">
        <x:v>5.3605067539532420</x:v>
      </x:c>
      <x:c r="G108" s="125" t="n">
        <x:v>0</x:v>
      </x:c>
      <x:c r="H108" s="108" t="str">
        <x:v>PASS</x:v>
      </x:c>
    </x:row>
    <x:row r="109">
      <x:c r="A109" s="108" t="n">
        <x:v>3</x:v>
      </x:c>
      <x:c r="B109" s="108" t="n">
        <x:v>5</x:v>
      </x:c>
      <x:c r="C109" s="108" t="n">
        <x:v>1</x:v>
      </x:c>
      <x:c r="D109" s="108" t="str">
        <x:v>end</x:v>
      </x:c>
      <x:c r="E109" s="125" t="str">
        <x:v>23.360506753953242</x:v>
      </x:c>
      <x:c r="F109" s="125" t="str">
        <x:v>23.360506753953242</x:v>
      </x:c>
      <x:c r="G109" s="125" t="n">
        <x:v>0</x:v>
      </x:c>
      <x:c r="H109" s="108" t="str">
        <x:v>PASS</x:v>
      </x:c>
    </x:row>
    <x:row r="110">
      <x:c r="A110" s="108" t="n">
        <x:v>3</x:v>
      </x:c>
      <x:c r="B110" s="108" t="n">
        <x:v>5</x:v>
      </x:c>
      <x:c r="C110" s="108" t="n">
        <x:v>1</x:v>
      </x:c>
      <x:c r="D110" s="108" t="str">
        <x:v>fatigueAfter</x:v>
      </x:c>
      <x:c r="E110" s="125" t="str">
        <x:v>0.28395528929245051</x:v>
      </x:c>
      <x:c r="F110" s="125" t="str">
        <x:v>0.28395528929245050</x:v>
      </x:c>
      <x:c r="G110" s="125" t="n">
        <x:v>0</x:v>
      </x:c>
      <x:c r="H110" s="108" t="str">
        <x:v>PASS</x:v>
      </x:c>
    </x:row>
    <x:row r="111">
      <x:c r="A111" s="108" t="n">
        <x:v>3</x:v>
      </x:c>
      <x:c r="B111" s="108" t="n">
        <x:v>5</x:v>
      </x:c>
      <x:c r="C111" s="108" t="n">
        <x:v>1</x:v>
      </x:c>
      <x:c r="D111" s="108" t="str">
        <x:v>machineIdle</x:v>
      </x:c>
      <x:c r="E111" s="125" t="str">
        <x:v>0</x:v>
      </x:c>
      <x:c r="F111" s="125" t="str">
        <x:v>0.0000000000000000</x:v>
      </x:c>
      <x:c r="G111" s="125" t="n">
        <x:v>0</x:v>
      </x:c>
      <x:c r="H111" s="108" t="str">
        <x:v>PASS</x:v>
      </x:c>
    </x:row>
    <x:row r="112">
      <x:c r="A112" s="108" t="n">
        <x:v>3</x:v>
      </x:c>
      <x:c r="B112" s="108" t="n">
        <x:v>5</x:v>
      </x:c>
      <x:c r="C112" s="108" t="n">
        <x:v>1</x:v>
      </x:c>
      <x:c r="D112" s="108" t="str">
        <x:v>energy</x:v>
      </x:c>
      <x:c r="E112" s="125" t="str">
        <x:v>42.884054031625936</x:v>
      </x:c>
      <x:c r="F112" s="125" t="str">
        <x:v>42.884054031625936</x:v>
      </x:c>
      <x:c r="G112" s="125" t="n">
        <x:v>0</x:v>
      </x:c>
      <x:c r="H112" s="108" t="str">
        <x:v>PASS</x:v>
      </x:c>
    </x:row>
    <x:row r="113">
      <x:c r="A113" s="108" t="n">
        <x:v>3</x:v>
      </x:c>
      <x:c r="B113" s="108" t="n">
        <x:v>5</x:v>
      </x:c>
      <x:c r="C113" s="108" t="n">
        <x:v>1</x:v>
      </x:c>
      <x:c r="D113" s="108" t="str">
        <x:v>cost</x:v>
      </x:c>
      <x:c r="E113" s="125" t="str">
        <x:v>58.965574293485659</x:v>
      </x:c>
      <x:c r="F113" s="125" t="str">
        <x:v>58.965574293485660</x:v>
      </x:c>
      <x:c r="G113" s="125" t="n">
        <x:v>0</x:v>
      </x:c>
      <x:c r="H113" s="108" t="str">
        <x:v>PASS</x:v>
      </x:c>
    </x:row>
    <x:row r="114">
      <x:c r="A114" s="108" t="n">
        <x:v>3</x:v>
      </x:c>
      <x:c r="B114" s="108" t="n">
        <x:v>5</x:v>
      </x:c>
      <x:c r="C114" s="108" t="n">
        <x:v>1</x:v>
      </x:c>
      <x:c r="D114" s="108" t="str">
        <x:v>safeThresholdExceeded</x:v>
      </x:c>
      <x:c r="E114" s="125" t="str">
        <x:v>false</x:v>
      </x:c>
      <x:c r="F114" s="125" t="str">
        <x:v>false</x:v>
      </x:c>
      <x:c r="G114" s="125" t="str"/>
      <x:c r="H114" s="108" t="str">
        <x:v>PASS</x:v>
      </x:c>
    </x:row>
    <x:row r="115">
      <x:c r="A115" s="108" t="n">
        <x:v>4</x:v>
      </x:c>
      <x:c r="B115" s="108" t="n">
        <x:v>3</x:v>
      </x:c>
      <x:c r="C115" s="108" t="n">
        <x:v>2</x:v>
      </x:c>
      <x:c r="D115" s="108" t="str">
        <x:v>sequence</x:v>
      </x:c>
      <x:c r="E115" s="125" t="str">
        <x:v>4</x:v>
      </x:c>
      <x:c r="F115" s="125" t="str">
        <x:v>4</x:v>
      </x:c>
      <x:c r="G115" s="125" t="n">
        <x:v>0</x:v>
      </x:c>
      <x:c r="H115" s="108" t="str">
        <x:v>PASS</x:v>
      </x:c>
    </x:row>
    <x:row r="116">
      <x:c r="A116" s="108" t="n">
        <x:v>4</x:v>
      </x:c>
      <x:c r="B116" s="108" t="n">
        <x:v>3</x:v>
      </x:c>
      <x:c r="C116" s="108" t="n">
        <x:v>2</x:v>
      </x:c>
      <x:c r="D116" s="108" t="str">
        <x:v>job</x:v>
      </x:c>
      <x:c r="E116" s="125" t="str">
        <x:v>3</x:v>
      </x:c>
      <x:c r="F116" s="125" t="str">
        <x:v>3</x:v>
      </x:c>
      <x:c r="G116" s="125" t="n">
        <x:v>0</x:v>
      </x:c>
      <x:c r="H116" s="108" t="str">
        <x:v>PASS</x:v>
      </x:c>
    </x:row>
    <x:row r="117">
      <x:c r="A117" s="108" t="n">
        <x:v>4</x:v>
      </x:c>
      <x:c r="B117" s="108" t="n">
        <x:v>3</x:v>
      </x:c>
      <x:c r="C117" s="108" t="n">
        <x:v>2</x:v>
      </x:c>
      <x:c r="D117" s="108" t="str">
        <x:v>stage</x:v>
      </x:c>
      <x:c r="E117" s="125" t="str">
        <x:v>2</x:v>
      </x:c>
      <x:c r="F117" s="125" t="str">
        <x:v>2</x:v>
      </x:c>
      <x:c r="G117" s="125" t="n">
        <x:v>0</x:v>
      </x:c>
      <x:c r="H117" s="108" t="str">
        <x:v>PASS</x:v>
      </x:c>
    </x:row>
    <x:row r="118">
      <x:c r="A118" s="108" t="n">
        <x:v>4</x:v>
      </x:c>
      <x:c r="B118" s="108" t="n">
        <x:v>3</x:v>
      </x:c>
      <x:c r="C118" s="108" t="n">
        <x:v>2</x:v>
      </x:c>
      <x:c r="D118" s="108" t="str">
        <x:v>factory</x:v>
      </x:c>
      <x:c r="E118" s="125" t="str">
        <x:v>1</x:v>
      </x:c>
      <x:c r="F118" s="125" t="str">
        <x:v>1</x:v>
      </x:c>
      <x:c r="G118" s="125" t="n">
        <x:v>0</x:v>
      </x:c>
      <x:c r="H118" s="108" t="str">
        <x:v>PASS</x:v>
      </x:c>
    </x:row>
    <x:row r="119">
      <x:c r="A119" s="108" t="n">
        <x:v>4</x:v>
      </x:c>
      <x:c r="B119" s="108" t="n">
        <x:v>3</x:v>
      </x:c>
      <x:c r="C119" s="108" t="n">
        <x:v>2</x:v>
      </x:c>
      <x:c r="D119" s="108" t="str">
        <x:v>machine</x:v>
      </x:c>
      <x:c r="E119" s="125" t="str">
        <x:v>1</x:v>
      </x:c>
      <x:c r="F119" s="125" t="str">
        <x:v>1</x:v>
      </x:c>
      <x:c r="G119" s="125" t="n">
        <x:v>0</x:v>
      </x:c>
      <x:c r="H119" s="108" t="str">
        <x:v>PASS</x:v>
      </x:c>
    </x:row>
    <x:row r="120">
      <x:c r="A120" s="108" t="n">
        <x:v>4</x:v>
      </x:c>
      <x:c r="B120" s="108" t="n">
        <x:v>3</x:v>
      </x:c>
      <x:c r="C120" s="108" t="n">
        <x:v>2</x:v>
      </x:c>
      <x:c r="D120" s="108" t="str">
        <x:v>worker</x:v>
      </x:c>
      <x:c r="E120" s="125" t="str">
        <x:v>4</x:v>
      </x:c>
      <x:c r="F120" s="125" t="str">
        <x:v>4</x:v>
      </x:c>
      <x:c r="G120" s="125" t="n">
        <x:v>0</x:v>
      </x:c>
      <x:c r="H120" s="108" t="str">
        <x:v>PASS</x:v>
      </x:c>
    </x:row>
    <x:row r="121">
      <x:c r="A121" s="108" t="n">
        <x:v>4</x:v>
      </x:c>
      <x:c r="B121" s="108" t="n">
        <x:v>3</x:v>
      </x:c>
      <x:c r="C121" s="108" t="n">
        <x:v>2</x:v>
      </x:c>
      <x:c r="D121" s="108" t="str">
        <x:v>predecessorCompletion</x:v>
      </x:c>
      <x:c r="E121" s="125" t="str">
        <x:v>10</x:v>
      </x:c>
      <x:c r="F121" s="125" t="str">
        <x:v>10.000000000000000</x:v>
      </x:c>
      <x:c r="G121" s="125" t="n">
        <x:v>0</x:v>
      </x:c>
      <x:c r="H121" s="108" t="str">
        <x:v>PASS</x:v>
      </x:c>
    </x:row>
    <x:row r="122">
      <x:c r="A122" s="108" t="n">
        <x:v>4</x:v>
      </x:c>
      <x:c r="B122" s="108" t="n">
        <x:v>3</x:v>
      </x:c>
      <x:c r="C122" s="108" t="n">
        <x:v>2</x:v>
      </x:c>
      <x:c r="D122" s="108" t="str">
        <x:v>machineAvailableBefore</x:v>
      </x:c>
      <x:c r="E122" s="125" t="str">
        <x:v>0</x:v>
      </x:c>
      <x:c r="F122" s="125" t="str">
        <x:v>0.0000000000000000</x:v>
      </x:c>
      <x:c r="G122" s="125" t="n">
        <x:v>0</x:v>
      </x:c>
      <x:c r="H122" s="108" t="str">
        <x:v>PASS</x:v>
      </x:c>
    </x:row>
    <x:row r="123">
      <x:c r="A123" s="108" t="n">
        <x:v>4</x:v>
      </x:c>
      <x:c r="B123" s="108" t="n">
        <x:v>3</x:v>
      </x:c>
      <x:c r="C123" s="108" t="n">
        <x:v>2</x:v>
      </x:c>
      <x:c r="D123" s="108" t="str">
        <x:v>workerAvailableBefore</x:v>
      </x:c>
      <x:c r="E123" s="125" t="str">
        <x:v>0</x:v>
      </x:c>
      <x:c r="F123" s="125" t="str">
        <x:v>0.0000000000000000</x:v>
      </x:c>
      <x:c r="G123" s="125" t="n">
        <x:v>0</x:v>
      </x:c>
      <x:c r="H123" s="108" t="str">
        <x:v>PASS</x:v>
      </x:c>
    </x:row>
    <x:row r="124">
      <x:c r="A124" s="108" t="n">
        <x:v>4</x:v>
      </x:c>
      <x:c r="B124" s="108" t="n">
        <x:v>3</x:v>
      </x:c>
      <x:c r="C124" s="108" t="n">
        <x:v>2</x:v>
      </x:c>
      <x:c r="D124" s="108" t="str">
        <x:v>start</x:v>
      </x:c>
      <x:c r="E124" s="125" t="str">
        <x:v>10</x:v>
      </x:c>
      <x:c r="F124" s="125" t="str">
        <x:v>10.000000000000000</x:v>
      </x:c>
      <x:c r="G124" s="125" t="n">
        <x:v>0</x:v>
      </x:c>
      <x:c r="H124" s="108" t="str">
        <x:v>PASS</x:v>
      </x:c>
    </x:row>
    <x:row r="125">
      <x:c r="A125" s="108" t="n">
        <x:v>4</x:v>
      </x:c>
      <x:c r="B125" s="108" t="n">
        <x:v>3</x:v>
      </x:c>
      <x:c r="C125" s="108" t="n">
        <x:v>2</x:v>
      </x:c>
      <x:c r="D125" s="108" t="str">
        <x:v>recoveryDuration</x:v>
      </x:c>
      <x:c r="E125" s="125" t="str">
        <x:v>0</x:v>
      </x:c>
      <x:c r="F125" s="125" t="str">
        <x:v>0.0000000000000000</x:v>
      </x:c>
      <x:c r="G125" s="125" t="n">
        <x:v>0</x:v>
      </x:c>
      <x:c r="H125" s="108" t="str">
        <x:v>PASS</x:v>
      </x:c>
    </x:row>
    <x:row r="126">
      <x:c r="A126" s="108" t="n">
        <x:v>4</x:v>
      </x:c>
      <x:c r="B126" s="108" t="n">
        <x:v>3</x:v>
      </x:c>
      <x:c r="C126" s="108" t="n">
        <x:v>2</x:v>
      </x:c>
      <x:c r="D126" s="108" t="str">
        <x:v>fatigueBeforeRecovery</x:v>
      </x:c>
      <x:c r="E126" s="125" t="str">
        <x:v>0</x:v>
      </x:c>
      <x:c r="F126" s="125" t="str">
        <x:v>0.0000000000000000</x:v>
      </x:c>
      <x:c r="G126" s="125" t="n">
        <x:v>0</x:v>
      </x:c>
      <x:c r="H126" s="108" t="str">
        <x:v>PASS</x:v>
      </x:c>
    </x:row>
    <x:row r="127">
      <x:c r="A127" s="108" t="n">
        <x:v>4</x:v>
      </x:c>
      <x:c r="B127" s="108" t="n">
        <x:v>3</x:v>
      </x:c>
      <x:c r="C127" s="108" t="n">
        <x:v>2</x:v>
      </x:c>
      <x:c r="D127" s="108" t="str">
        <x:v>fatigueAtStart</x:v>
      </x:c>
      <x:c r="E127" s="125" t="str">
        <x:v>0</x:v>
      </x:c>
      <x:c r="F127" s="125" t="str">
        <x:v>0.0000000000000000</x:v>
      </x:c>
      <x:c r="G127" s="125" t="n">
        <x:v>0</x:v>
      </x:c>
      <x:c r="H127" s="108" t="str">
        <x:v>PASS</x:v>
      </x:c>
    </x:row>
    <x:row r="128">
      <x:c r="A128" s="108" t="n">
        <x:v>4</x:v>
      </x:c>
      <x:c r="B128" s="108" t="n">
        <x:v>3</x:v>
      </x:c>
      <x:c r="C128" s="108" t="n">
        <x:v>2</x:v>
      </x:c>
      <x:c r="D128" s="108" t="str">
        <x:v>ST</x:v>
      </x:c>
      <x:c r="E128" s="125" t="str">
        <x:v>5</x:v>
      </x:c>
      <x:c r="F128" s="125" t="str">
        <x:v>5</x:v>
      </x:c>
      <x:c r="G128" s="125" t="n">
        <x:v>0</x:v>
      </x:c>
      <x:c r="H128" s="108" t="str">
        <x:v>PASS</x:v>
      </x:c>
    </x:row>
    <x:row r="129">
      <x:c r="A129" s="108" t="n">
        <x:v>4</x:v>
      </x:c>
      <x:c r="B129" s="108" t="n">
        <x:v>3</x:v>
      </x:c>
      <x:c r="C129" s="108" t="n">
        <x:v>2</x:v>
      </x:c>
      <x:c r="D129" s="108" t="str">
        <x:v>SUT</x:v>
      </x:c>
      <x:c r="E129" s="125" t="str">
        <x:v>1</x:v>
      </x:c>
      <x:c r="F129" s="125" t="str">
        <x:v>1</x:v>
      </x:c>
      <x:c r="G129" s="125" t="n">
        <x:v>0</x:v>
      </x:c>
      <x:c r="H129" s="108" t="str">
        <x:v>PASS</x:v>
      </x:c>
    </x:row>
    <x:row r="130">
      <x:c r="A130" s="108" t="n">
        <x:v>4</x:v>
      </x:c>
      <x:c r="B130" s="108" t="n">
        <x:v>3</x:v>
      </x:c>
      <x:c r="C130" s="108" t="n">
        <x:v>2</x:v>
      </x:c>
      <x:c r="D130" s="108" t="str">
        <x:v>machineSpeed</x:v>
      </x:c>
      <x:c r="E130" s="125" t="str">
        <x:v>1</x:v>
      </x:c>
      <x:c r="F130" s="125" t="str">
        <x:v>1.0000000000000000</x:v>
      </x:c>
      <x:c r="G130" s="125" t="n">
        <x:v>0</x:v>
      </x:c>
      <x:c r="H130" s="108" t="str">
        <x:v>PASS</x:v>
      </x:c>
    </x:row>
    <x:row r="131">
      <x:c r="A131" s="108" t="n">
        <x:v>4</x:v>
      </x:c>
      <x:c r="B131" s="108" t="n">
        <x:v>3</x:v>
      </x:c>
      <x:c r="C131" s="108" t="n">
        <x:v>2</x:v>
      </x:c>
      <x:c r="D131" s="108" t="str">
        <x:v>machinePower</x:v>
      </x:c>
      <x:c r="E131" s="125" t="str">
        <x:v>7</x:v>
      </x:c>
      <x:c r="F131" s="125" t="str">
        <x:v>7</x:v>
      </x:c>
      <x:c r="G131" s="125" t="n">
        <x:v>0</x:v>
      </x:c>
      <x:c r="H131" s="108" t="str">
        <x:v>PASS</x:v>
      </x:c>
    </x:row>
    <x:row r="132">
      <x:c r="A132" s="108" t="n">
        <x:v>4</x:v>
      </x:c>
      <x:c r="B132" s="108" t="n">
        <x:v>3</x:v>
      </x:c>
      <x:c r="C132" s="108" t="n">
        <x:v>2</x:v>
      </x:c>
      <x:c r="D132" s="108" t="str">
        <x:v>workerEfficiency</x:v>
      </x:c>
      <x:c r="E132" s="125" t="str">
        <x:v>1.2</x:v>
      </x:c>
      <x:c r="F132" s="125" t="str">
        <x:v>1.2000000000000000</x:v>
      </x:c>
      <x:c r="G132" s="125" t="n">
        <x:v>0</x:v>
      </x:c>
      <x:c r="H132" s="108" t="str">
        <x:v>PASS</x:v>
      </x:c>
    </x:row>
    <x:row r="133">
      <x:c r="A133" s="108" t="n">
        <x:v>4</x:v>
      </x:c>
      <x:c r="B133" s="108" t="n">
        <x:v>3</x:v>
      </x:c>
      <x:c r="C133" s="108" t="n">
        <x:v>2</x:v>
      </x:c>
      <x:c r="D133" s="108" t="str">
        <x:v>workerCost</x:v>
      </x:c>
      <x:c r="E133" s="125" t="str">
        <x:v>12</x:v>
      </x:c>
      <x:c r="F133" s="125" t="str">
        <x:v>12</x:v>
      </x:c>
      <x:c r="G133" s="125" t="n">
        <x:v>0</x:v>
      </x:c>
      <x:c r="H133" s="108" t="str">
        <x:v>PASS</x:v>
      </x:c>
    </x:row>
    <x:row r="134">
      <x:c r="A134" s="108" t="n">
        <x:v>4</x:v>
      </x:c>
      <x:c r="B134" s="108" t="n">
        <x:v>3</x:v>
      </x:c>
      <x:c r="C134" s="108" t="n">
        <x:v>2</x:v>
      </x:c>
      <x:c r="D134" s="108" t="str">
        <x:v>lambda</x:v>
      </x:c>
      <x:c r="E134" s="125" t="str">
        <x:v>0.021999999999999999</x:v>
      </x:c>
      <x:c r="F134" s="125" t="str">
        <x:v>0.022000000000000000</x:v>
      </x:c>
      <x:c r="G134" s="125" t="n">
        <x:v>0</x:v>
      </x:c>
      <x:c r="H134" s="108" t="str">
        <x:v>PASS</x:v>
      </x:c>
    </x:row>
    <x:row r="135">
      <x:c r="A135" s="108" t="n">
        <x:v>4</x:v>
      </x:c>
      <x:c r="B135" s="108" t="n">
        <x:v>3</x:v>
      </x:c>
      <x:c r="C135" s="108" t="n">
        <x:v>2</x:v>
      </x:c>
      <x:c r="D135" s="108" t="str">
        <x:v>muCurrentStage</x:v>
      </x:c>
      <x:c r="E135" s="125" t="str">
        <x:v>0.050000000000000003</x:v>
      </x:c>
      <x:c r="F135" s="125" t="str">
        <x:v>0.050000000000000000</x:v>
      </x:c>
      <x:c r="G135" s="125" t="n">
        <x:v>0</x:v>
      </x:c>
      <x:c r="H135" s="108" t="str">
        <x:v>PASS</x:v>
      </x:c>
    </x:row>
    <x:row r="136">
      <x:c r="A136" s="108" t="n">
        <x:v>4</x:v>
      </x:c>
      <x:c r="B136" s="108" t="n">
        <x:v>3</x:v>
      </x:c>
      <x:c r="C136" s="108" t="n">
        <x:v>2</x:v>
      </x:c>
      <x:c r="D136" s="108" t="str">
        <x:v>recoveryMu</x:v>
      </x:c>
      <x:c r="E136" s="125" t="str">
        <x:v>0.050000000000000003</x:v>
      </x:c>
      <x:c r="F136" s="125" t="str">
        <x:v>0.050000000000000000</x:v>
      </x:c>
      <x:c r="G136" s="125" t="n">
        <x:v>0</x:v>
      </x:c>
      <x:c r="H136" s="108" t="str">
        <x:v>PASS</x:v>
      </x:c>
    </x:row>
    <x:row r="137">
      <x:c r="A137" s="108" t="n">
        <x:v>4</x:v>
      </x:c>
      <x:c r="B137" s="108" t="n">
        <x:v>3</x:v>
      </x:c>
      <x:c r="C137" s="108" t="n">
        <x:v>2</x:v>
      </x:c>
      <x:c r="D137" s="108" t="str">
        <x:v>r</x:v>
      </x:c>
      <x:c r="E137" s="125" t="str">
        <x:v>0.29999999999999999</x:v>
      </x:c>
      <x:c r="F137" s="125" t="str">
        <x:v>0.30000000000000000</x:v>
      </x:c>
      <x:c r="G137" s="125" t="n">
        <x:v>0</x:v>
      </x:c>
      <x:c r="H137" s="108" t="str">
        <x:v>PASS</x:v>
      </x:c>
    </x:row>
    <x:row r="138">
      <x:c r="A138" s="108" t="n">
        <x:v>4</x:v>
      </x:c>
      <x:c r="B138" s="108" t="n">
        <x:v>3</x:v>
      </x:c>
      <x:c r="C138" s="108" t="n">
        <x:v>2</x:v>
      </x:c>
      <x:c r="D138" s="108" t="str">
        <x:v>delta</x:v>
      </x:c>
      <x:c r="E138" s="125" t="str">
        <x:v>19.67311419394041</x:v>
      </x:c>
      <x:c r="F138" s="125" t="str">
        <x:v>19.673114193940410</x:v>
      </x:c>
      <x:c r="G138" s="125" t="n">
        <x:v>0</x:v>
      </x:c>
      <x:c r="H138" s="108" t="str">
        <x:v>PASS</x:v>
      </x:c>
    </x:row>
    <x:row r="139">
      <x:c r="A139" s="108" t="n">
        <x:v>4</x:v>
      </x:c>
      <x:c r="B139" s="108" t="n">
        <x:v>3</x:v>
      </x:c>
      <x:c r="C139" s="108" t="n">
        <x:v>2</x:v>
      </x:c>
      <x:c r="D139" s="108" t="str">
        <x:v>baseProcessing</x:v>
      </x:c>
      <x:c r="E139" s="125" t="str">
        <x:v>4.166666666666667</x:v>
      </x:c>
      <x:c r="F139" s="125" t="str">
        <x:v>4.1666666666666670</x:v>
      </x:c>
      <x:c r="G139" s="125" t="n">
        <x:v>0</x:v>
      </x:c>
      <x:c r="H139" s="108" t="str">
        <x:v>PASS</x:v>
      </x:c>
    </x:row>
    <x:row r="140">
      <x:c r="A140" s="108" t="n">
        <x:v>4</x:v>
      </x:c>
      <x:c r="B140" s="108" t="n">
        <x:v>3</x:v>
      </x:c>
      <x:c r="C140" s="108" t="n">
        <x:v>2</x:v>
      </x:c>
      <x:c r="D140" s="108" t="str">
        <x:v>baseSetup</x:v>
      </x:c>
      <x:c r="E140" s="125" t="str">
        <x:v>0.83333333333333337</x:v>
      </x:c>
      <x:c r="F140" s="125" t="str">
        <x:v>0.83333333333333340</x:v>
      </x:c>
      <x:c r="G140" s="125" t="n">
        <x:v>0</x:v>
      </x:c>
      <x:c r="H140" s="108" t="str">
        <x:v>PASS</x:v>
      </x:c>
    </x:row>
    <x:row r="141">
      <x:c r="A141" s="108" t="n">
        <x:v>4</x:v>
      </x:c>
      <x:c r="B141" s="108" t="n">
        <x:v>3</x:v>
      </x:c>
      <x:c r="C141" s="108" t="n">
        <x:v>2</x:v>
      </x:c>
      <x:c r="D141" s="108" t="str">
        <x:v>baseAT</x:v>
      </x:c>
      <x:c r="E141" s="125" t="str">
        <x:v>5</x:v>
      </x:c>
      <x:c r="F141" s="125" t="str">
        <x:v>5.0000000000000000</x:v>
      </x:c>
      <x:c r="G141" s="125" t="n">
        <x:v>0</x:v>
      </x:c>
      <x:c r="H141" s="108" t="str">
        <x:v>PASS</x:v>
      </x:c>
    </x:row>
    <x:row r="142">
      <x:c r="A142" s="108" t="n">
        <x:v>4</x:v>
      </x:c>
      <x:c r="B142" s="108" t="n">
        <x:v>3</x:v>
      </x:c>
      <x:c r="C142" s="108" t="n">
        <x:v>2</x:v>
      </x:c>
      <x:c r="D142" s="108" t="str">
        <x:v>fatigueMultiplier</x:v>
      </x:c>
      <x:c r="E142" s="125" t="str">
        <x:v>1</x:v>
      </x:c>
      <x:c r="F142" s="125" t="str">
        <x:v>1.0000000000000000</x:v>
      </x:c>
      <x:c r="G142" s="125" t="n">
        <x:v>0</x:v>
      </x:c>
      <x:c r="H142" s="108" t="str">
        <x:v>PASS</x:v>
      </x:c>
    </x:row>
    <x:row r="143">
      <x:c r="A143" s="108" t="n">
        <x:v>4</x:v>
      </x:c>
      <x:c r="B143" s="108" t="n">
        <x:v>3</x:v>
      </x:c>
      <x:c r="C143" s="108" t="n">
        <x:v>2</x:v>
      </x:c>
      <x:c r="D143" s="108" t="str">
        <x:v>actualProcessing</x:v>
      </x:c>
      <x:c r="E143" s="125" t="str">
        <x:v>4.166666666666667</x:v>
      </x:c>
      <x:c r="F143" s="125" t="str">
        <x:v>4.1666666666666670</x:v>
      </x:c>
      <x:c r="G143" s="125" t="n">
        <x:v>0</x:v>
      </x:c>
      <x:c r="H143" s="108" t="str">
        <x:v>PASS</x:v>
      </x:c>
    </x:row>
    <x:row r="144">
      <x:c r="A144" s="108" t="n">
        <x:v>4</x:v>
      </x:c>
      <x:c r="B144" s="108" t="n">
        <x:v>3</x:v>
      </x:c>
      <x:c r="C144" s="108" t="n">
        <x:v>2</x:v>
      </x:c>
      <x:c r="D144" s="108" t="str">
        <x:v>actualSetup</x:v>
      </x:c>
      <x:c r="E144" s="125" t="str">
        <x:v>0.83333333333333337</x:v>
      </x:c>
      <x:c r="F144" s="125" t="str">
        <x:v>0.83333333333333340</x:v>
      </x:c>
      <x:c r="G144" s="125" t="n">
        <x:v>0</x:v>
      </x:c>
      <x:c r="H144" s="108" t="str">
        <x:v>PASS</x:v>
      </x:c>
    </x:row>
    <x:row r="145">
      <x:c r="A145" s="108" t="n">
        <x:v>4</x:v>
      </x:c>
      <x:c r="B145" s="108" t="n">
        <x:v>3</x:v>
      </x:c>
      <x:c r="C145" s="108" t="n">
        <x:v>2</x:v>
      </x:c>
      <x:c r="D145" s="108" t="str">
        <x:v>actualAT</x:v>
      </x:c>
      <x:c r="E145" s="125" t="str">
        <x:v>5</x:v>
      </x:c>
      <x:c r="F145" s="125" t="str">
        <x:v>5.0000000000000000</x:v>
      </x:c>
      <x:c r="G145" s="125" t="n">
        <x:v>0</x:v>
      </x:c>
      <x:c r="H145" s="108" t="str">
        <x:v>PASS</x:v>
      </x:c>
    </x:row>
    <x:row r="146">
      <x:c r="A146" s="108" t="n">
        <x:v>4</x:v>
      </x:c>
      <x:c r="B146" s="108" t="n">
        <x:v>3</x:v>
      </x:c>
      <x:c r="C146" s="108" t="n">
        <x:v>2</x:v>
      </x:c>
      <x:c r="D146" s="108" t="str">
        <x:v>end</x:v>
      </x:c>
      <x:c r="E146" s="125" t="str">
        <x:v>15</x:v>
      </x:c>
      <x:c r="F146" s="125" t="str">
        <x:v>15.000000000000000</x:v>
      </x:c>
      <x:c r="G146" s="125" t="n">
        <x:v>0</x:v>
      </x:c>
      <x:c r="H146" s="108" t="str">
        <x:v>PASS</x:v>
      </x:c>
    </x:row>
    <x:row r="147">
      <x:c r="A147" s="108" t="n">
        <x:v>4</x:v>
      </x:c>
      <x:c r="B147" s="108" t="n">
        <x:v>3</x:v>
      </x:c>
      <x:c r="C147" s="108" t="n">
        <x:v>2</x:v>
      </x:c>
      <x:c r="D147" s="108" t="str">
        <x:v>fatigueAfter</x:v>
      </x:c>
      <x:c r="E147" s="125" t="str">
        <x:v>0.10416586470347174</x:v>
      </x:c>
      <x:c r="F147" s="125" t="str">
        <x:v>0.10416586470347174</x:v>
      </x:c>
      <x:c r="G147" s="125" t="n">
        <x:v>0</x:v>
      </x:c>
      <x:c r="H147" s="108" t="str">
        <x:v>PASS</x:v>
      </x:c>
    </x:row>
    <x:row r="148">
      <x:c r="A148" s="108" t="n">
        <x:v>4</x:v>
      </x:c>
      <x:c r="B148" s="108" t="n">
        <x:v>3</x:v>
      </x:c>
      <x:c r="C148" s="108" t="n">
        <x:v>2</x:v>
      </x:c>
      <x:c r="D148" s="108" t="str">
        <x:v>machineIdle</x:v>
      </x:c>
      <x:c r="E148" s="125" t="str">
        <x:v>0</x:v>
      </x:c>
      <x:c r="F148" s="125" t="str">
        <x:v>0.0000000000000000</x:v>
      </x:c>
      <x:c r="G148" s="125" t="n">
        <x:v>0</x:v>
      </x:c>
      <x:c r="H148" s="108" t="str">
        <x:v>PASS</x:v>
      </x:c>
    </x:row>
    <x:row r="149">
      <x:c r="A149" s="108" t="n">
        <x:v>4</x:v>
      </x:c>
      <x:c r="B149" s="108" t="n">
        <x:v>3</x:v>
      </x:c>
      <x:c r="C149" s="108" t="n">
        <x:v>2</x:v>
      </x:c>
      <x:c r="D149" s="108" t="str">
        <x:v>energy</x:v>
      </x:c>
      <x:c r="E149" s="125" t="str">
        <x:v>35</x:v>
      </x:c>
      <x:c r="F149" s="125" t="str">
        <x:v>35.000000000000000</x:v>
      </x:c>
      <x:c r="G149" s="125" t="n">
        <x:v>0</x:v>
      </x:c>
      <x:c r="H149" s="108" t="str">
        <x:v>PASS</x:v>
      </x:c>
    </x:row>
    <x:row r="150">
      <x:c r="A150" s="108" t="n">
        <x:v>4</x:v>
      </x:c>
      <x:c r="B150" s="108" t="n">
        <x:v>3</x:v>
      </x:c>
      <x:c r="C150" s="108" t="n">
        <x:v>2</x:v>
      </x:c>
      <x:c r="D150" s="108" t="str">
        <x:v>cost</x:v>
      </x:c>
      <x:c r="E150" s="125" t="str">
        <x:v>60</x:v>
      </x:c>
      <x:c r="F150" s="125" t="str">
        <x:v>60.000000000000000</x:v>
      </x:c>
      <x:c r="G150" s="125" t="n">
        <x:v>0</x:v>
      </x:c>
      <x:c r="H150" s="108" t="str">
        <x:v>PASS</x:v>
      </x:c>
    </x:row>
    <x:row r="151">
      <x:c r="A151" s="108" t="n">
        <x:v>4</x:v>
      </x:c>
      <x:c r="B151" s="108" t="n">
        <x:v>3</x:v>
      </x:c>
      <x:c r="C151" s="108" t="n">
        <x:v>2</x:v>
      </x:c>
      <x:c r="D151" s="108" t="str">
        <x:v>safeThresholdExceeded</x:v>
      </x:c>
      <x:c r="E151" s="125" t="str">
        <x:v>false</x:v>
      </x:c>
      <x:c r="F151" s="125" t="str">
        <x:v>false</x:v>
      </x:c>
      <x:c r="G151" s="125" t="str"/>
      <x:c r="H151" s="108" t="str">
        <x:v>PASS</x:v>
      </x:c>
    </x:row>
    <x:row r="152">
      <x:c r="A152" s="108" t="n">
        <x:v>5</x:v>
      </x:c>
      <x:c r="B152" s="108" t="n">
        <x:v>4</x:v>
      </x:c>
      <x:c r="C152" s="108" t="n">
        <x:v>2</x:v>
      </x:c>
      <x:c r="D152" s="108" t="str">
        <x:v>sequence</x:v>
      </x:c>
      <x:c r="E152" s="125" t="str">
        <x:v>5</x:v>
      </x:c>
      <x:c r="F152" s="125" t="str">
        <x:v>5</x:v>
      </x:c>
      <x:c r="G152" s="125" t="n">
        <x:v>0</x:v>
      </x:c>
      <x:c r="H152" s="108" t="str">
        <x:v>PASS</x:v>
      </x:c>
    </x:row>
    <x:row r="153">
      <x:c r="A153" s="108" t="n">
        <x:v>5</x:v>
      </x:c>
      <x:c r="B153" s="108" t="n">
        <x:v>4</x:v>
      </x:c>
      <x:c r="C153" s="108" t="n">
        <x:v>2</x:v>
      </x:c>
      <x:c r="D153" s="108" t="str">
        <x:v>job</x:v>
      </x:c>
      <x:c r="E153" s="125" t="str">
        <x:v>4</x:v>
      </x:c>
      <x:c r="F153" s="125" t="str">
        <x:v>4</x:v>
      </x:c>
      <x:c r="G153" s="125" t="n">
        <x:v>0</x:v>
      </x:c>
      <x:c r="H153" s="108" t="str">
        <x:v>PASS</x:v>
      </x:c>
    </x:row>
    <x:row r="154">
      <x:c r="A154" s="108" t="n">
        <x:v>5</x:v>
      </x:c>
      <x:c r="B154" s="108" t="n">
        <x:v>4</x:v>
      </x:c>
      <x:c r="C154" s="108" t="n">
        <x:v>2</x:v>
      </x:c>
      <x:c r="D154" s="108" t="str">
        <x:v>stage</x:v>
      </x:c>
      <x:c r="E154" s="125" t="str">
        <x:v>2</x:v>
      </x:c>
      <x:c r="F154" s="125" t="str">
        <x:v>2</x:v>
      </x:c>
      <x:c r="G154" s="125" t="n">
        <x:v>0</x:v>
      </x:c>
      <x:c r="H154" s="108" t="str">
        <x:v>PASS</x:v>
      </x:c>
    </x:row>
    <x:row r="155">
      <x:c r="A155" s="108" t="n">
        <x:v>5</x:v>
      </x:c>
      <x:c r="B155" s="108" t="n">
        <x:v>4</x:v>
      </x:c>
      <x:c r="C155" s="108" t="n">
        <x:v>2</x:v>
      </x:c>
      <x:c r="D155" s="108" t="str">
        <x:v>factory</x:v>
      </x:c>
      <x:c r="E155" s="125" t="str">
        <x:v>1</x:v>
      </x:c>
      <x:c r="F155" s="125" t="str">
        <x:v>1</x:v>
      </x:c>
      <x:c r="G155" s="125" t="n">
        <x:v>0</x:v>
      </x:c>
      <x:c r="H155" s="108" t="str">
        <x:v>PASS</x:v>
      </x:c>
    </x:row>
    <x:row r="156">
      <x:c r="A156" s="108" t="n">
        <x:v>5</x:v>
      </x:c>
      <x:c r="B156" s="108" t="n">
        <x:v>4</x:v>
      </x:c>
      <x:c r="C156" s="108" t="n">
        <x:v>2</x:v>
      </x:c>
      <x:c r="D156" s="108" t="str">
        <x:v>machine</x:v>
      </x:c>
      <x:c r="E156" s="125" t="str">
        <x:v>2</x:v>
      </x:c>
      <x:c r="F156" s="125" t="str">
        <x:v>2</x:v>
      </x:c>
      <x:c r="G156" s="125" t="n">
        <x:v>0</x:v>
      </x:c>
      <x:c r="H156" s="108" t="str">
        <x:v>PASS</x:v>
      </x:c>
    </x:row>
    <x:row r="157">
      <x:c r="A157" s="108" t="n">
        <x:v>5</x:v>
      </x:c>
      <x:c r="B157" s="108" t="n">
        <x:v>4</x:v>
      </x:c>
      <x:c r="C157" s="108" t="n">
        <x:v>2</x:v>
      </x:c>
      <x:c r="D157" s="108" t="str">
        <x:v>worker</x:v>
      </x:c>
      <x:c r="E157" s="125" t="str">
        <x:v>4</x:v>
      </x:c>
      <x:c r="F157" s="125" t="str">
        <x:v>4</x:v>
      </x:c>
      <x:c r="G157" s="125" t="n">
        <x:v>0</x:v>
      </x:c>
      <x:c r="H157" s="108" t="str">
        <x:v>PASS</x:v>
      </x:c>
    </x:row>
    <x:row r="158">
      <x:c r="A158" s="108" t="n">
        <x:v>5</x:v>
      </x:c>
      <x:c r="B158" s="108" t="n">
        <x:v>4</x:v>
      </x:c>
      <x:c r="C158" s="108" t="n">
        <x:v>2</x:v>
      </x:c>
      <x:c r="D158" s="108" t="str">
        <x:v>predecessorCompletion</x:v>
      </x:c>
      <x:c r="E158" s="125" t="str">
        <x:v>18</x:v>
      </x:c>
      <x:c r="F158" s="125" t="str">
        <x:v>18.000000000000000</x:v>
      </x:c>
      <x:c r="G158" s="125" t="n">
        <x:v>0</x:v>
      </x:c>
      <x:c r="H158" s="108" t="str">
        <x:v>PASS</x:v>
      </x:c>
    </x:row>
    <x:row r="159">
      <x:c r="A159" s="108" t="n">
        <x:v>5</x:v>
      </x:c>
      <x:c r="B159" s="108" t="n">
        <x:v>4</x:v>
      </x:c>
      <x:c r="C159" s="108" t="n">
        <x:v>2</x:v>
      </x:c>
      <x:c r="D159" s="108" t="str">
        <x:v>machineAvailableBefore</x:v>
      </x:c>
      <x:c r="E159" s="125" t="str">
        <x:v>0</x:v>
      </x:c>
      <x:c r="F159" s="125" t="str">
        <x:v>0.0000000000000000</x:v>
      </x:c>
      <x:c r="G159" s="125" t="n">
        <x:v>0</x:v>
      </x:c>
      <x:c r="H159" s="108" t="str">
        <x:v>PASS</x:v>
      </x:c>
    </x:row>
    <x:row r="160">
      <x:c r="A160" s="108" t="n">
        <x:v>5</x:v>
      </x:c>
      <x:c r="B160" s="108" t="n">
        <x:v>4</x:v>
      </x:c>
      <x:c r="C160" s="108" t="n">
        <x:v>2</x:v>
      </x:c>
      <x:c r="D160" s="108" t="str">
        <x:v>workerAvailableBefore</x:v>
      </x:c>
      <x:c r="E160" s="125" t="str">
        <x:v>15</x:v>
      </x:c>
      <x:c r="F160" s="125" t="str">
        <x:v>15.000000000000000</x:v>
      </x:c>
      <x:c r="G160" s="125" t="n">
        <x:v>0</x:v>
      </x:c>
      <x:c r="H160" s="108" t="str">
        <x:v>PASS</x:v>
      </x:c>
    </x:row>
    <x:row r="161">
      <x:c r="A161" s="108" t="n">
        <x:v>5</x:v>
      </x:c>
      <x:c r="B161" s="108" t="n">
        <x:v>4</x:v>
      </x:c>
      <x:c r="C161" s="108" t="n">
        <x:v>2</x:v>
      </x:c>
      <x:c r="D161" s="108" t="str">
        <x:v>start</x:v>
      </x:c>
      <x:c r="E161" s="125" t="str">
        <x:v>18</x:v>
      </x:c>
      <x:c r="F161" s="125" t="str">
        <x:v>18.000000000000000</x:v>
      </x:c>
      <x:c r="G161" s="125" t="n">
        <x:v>0</x:v>
      </x:c>
      <x:c r="H161" s="108" t="str">
        <x:v>PASS</x:v>
      </x:c>
    </x:row>
    <x:row r="162">
      <x:c r="A162" s="108" t="n">
        <x:v>5</x:v>
      </x:c>
      <x:c r="B162" s="108" t="n">
        <x:v>4</x:v>
      </x:c>
      <x:c r="C162" s="108" t="n">
        <x:v>2</x:v>
      </x:c>
      <x:c r="D162" s="108" t="str">
        <x:v>recoveryDuration</x:v>
      </x:c>
      <x:c r="E162" s="125" t="str">
        <x:v>3</x:v>
      </x:c>
      <x:c r="F162" s="125" t="str">
        <x:v>3.0000000000000000</x:v>
      </x:c>
      <x:c r="G162" s="125" t="n">
        <x:v>0</x:v>
      </x:c>
      <x:c r="H162" s="108" t="str">
        <x:v>PASS</x:v>
      </x:c>
    </x:row>
    <x:row r="163">
      <x:c r="A163" s="108" t="n">
        <x:v>5</x:v>
      </x:c>
      <x:c r="B163" s="108" t="n">
        <x:v>4</x:v>
      </x:c>
      <x:c r="C163" s="108" t="n">
        <x:v>2</x:v>
      </x:c>
      <x:c r="D163" s="108" t="str">
        <x:v>fatigueBeforeRecovery</x:v>
      </x:c>
      <x:c r="E163" s="125" t="str">
        <x:v>0.10416586470347174</x:v>
      </x:c>
      <x:c r="F163" s="125" t="str">
        <x:v>0.10416586470347174</x:v>
      </x:c>
      <x:c r="G163" s="125" t="n">
        <x:v>0</x:v>
      </x:c>
      <x:c r="H163" s="108" t="str">
        <x:v>PASS</x:v>
      </x:c>
    </x:row>
    <x:row r="164">
      <x:c r="A164" s="108" t="n">
        <x:v>5</x:v>
      </x:c>
      <x:c r="B164" s="108" t="n">
        <x:v>4</x:v>
      </x:c>
      <x:c r="C164" s="108" t="n">
        <x:v>2</x:v>
      </x:c>
      <x:c r="D164" s="108" t="str">
        <x:v>fatigueAtStart</x:v>
      </x:c>
      <x:c r="E164" s="125" t="str">
        <x:v>0.089656390621491514</x:v>
      </x:c>
      <x:c r="F164" s="125" t="str">
        <x:v>0.089656390621491510</x:v>
      </x:c>
      <x:c r="G164" s="125" t="n">
        <x:v>0</x:v>
      </x:c>
      <x:c r="H164" s="108" t="str">
        <x:v>PASS</x:v>
      </x:c>
    </x:row>
    <x:row r="165">
      <x:c r="A165" s="108" t="n">
        <x:v>5</x:v>
      </x:c>
      <x:c r="B165" s="108" t="n">
        <x:v>4</x:v>
      </x:c>
      <x:c r="C165" s="108" t="n">
        <x:v>2</x:v>
      </x:c>
      <x:c r="D165" s="108" t="str">
        <x:v>ST</x:v>
      </x:c>
      <x:c r="E165" s="125" t="str">
        <x:v>9</x:v>
      </x:c>
      <x:c r="F165" s="125" t="str">
        <x:v>9</x:v>
      </x:c>
      <x:c r="G165" s="125" t="n">
        <x:v>0</x:v>
      </x:c>
      <x:c r="H165" s="108" t="str">
        <x:v>PASS</x:v>
      </x:c>
    </x:row>
    <x:row r="166">
      <x:c r="A166" s="108" t="n">
        <x:v>5</x:v>
      </x:c>
      <x:c r="B166" s="108" t="n">
        <x:v>4</x:v>
      </x:c>
      <x:c r="C166" s="108" t="n">
        <x:v>2</x:v>
      </x:c>
      <x:c r="D166" s="108" t="str">
        <x:v>SUT</x:v>
      </x:c>
      <x:c r="E166" s="125" t="str">
        <x:v>2</x:v>
      </x:c>
      <x:c r="F166" s="125" t="str">
        <x:v>2</x:v>
      </x:c>
      <x:c r="G166" s="125" t="n">
        <x:v>0</x:v>
      </x:c>
      <x:c r="H166" s="108" t="str">
        <x:v>PASS</x:v>
      </x:c>
    </x:row>
    <x:row r="167">
      <x:c r="A167" s="108" t="n">
        <x:v>5</x:v>
      </x:c>
      <x:c r="B167" s="108" t="n">
        <x:v>4</x:v>
      </x:c>
      <x:c r="C167" s="108" t="n">
        <x:v>2</x:v>
      </x:c>
      <x:c r="D167" s="108" t="str">
        <x:v>machineSpeed</x:v>
      </x:c>
      <x:c r="E167" s="125" t="str">
        <x:v>1.25</x:v>
      </x:c>
      <x:c r="F167" s="125" t="str">
        <x:v>1.2500000000000000</x:v>
      </x:c>
      <x:c r="G167" s="125" t="n">
        <x:v>0</x:v>
      </x:c>
      <x:c r="H167" s="108" t="str">
        <x:v>PASS</x:v>
      </x:c>
    </x:row>
    <x:row r="168">
      <x:c r="A168" s="108" t="n">
        <x:v>5</x:v>
      </x:c>
      <x:c r="B168" s="108" t="n">
        <x:v>4</x:v>
      </x:c>
      <x:c r="C168" s="108" t="n">
        <x:v>2</x:v>
      </x:c>
      <x:c r="D168" s="108" t="str">
        <x:v>machinePower</x:v>
      </x:c>
      <x:c r="E168" s="125" t="str">
        <x:v>9</x:v>
      </x:c>
      <x:c r="F168" s="125" t="str">
        <x:v>9</x:v>
      </x:c>
      <x:c r="G168" s="125" t="n">
        <x:v>0</x:v>
      </x:c>
      <x:c r="H168" s="108" t="str">
        <x:v>PASS</x:v>
      </x:c>
    </x:row>
    <x:row r="169">
      <x:c r="A169" s="108" t="n">
        <x:v>5</x:v>
      </x:c>
      <x:c r="B169" s="108" t="n">
        <x:v>4</x:v>
      </x:c>
      <x:c r="C169" s="108" t="n">
        <x:v>2</x:v>
      </x:c>
      <x:c r="D169" s="108" t="str">
        <x:v>workerEfficiency</x:v>
      </x:c>
      <x:c r="E169" s="125" t="str">
        <x:v>1.2</x:v>
      </x:c>
      <x:c r="F169" s="125" t="str">
        <x:v>1.2000000000000000</x:v>
      </x:c>
      <x:c r="G169" s="125" t="n">
        <x:v>0</x:v>
      </x:c>
      <x:c r="H169" s="108" t="str">
        <x:v>PASS</x:v>
      </x:c>
    </x:row>
    <x:row r="170">
      <x:c r="A170" s="108" t="n">
        <x:v>5</x:v>
      </x:c>
      <x:c r="B170" s="108" t="n">
        <x:v>4</x:v>
      </x:c>
      <x:c r="C170" s="108" t="n">
        <x:v>2</x:v>
      </x:c>
      <x:c r="D170" s="108" t="str">
        <x:v>workerCost</x:v>
      </x:c>
      <x:c r="E170" s="125" t="str">
        <x:v>12</x:v>
      </x:c>
      <x:c r="F170" s="125" t="str">
        <x:v>12</x:v>
      </x:c>
      <x:c r="G170" s="125" t="n">
        <x:v>0</x:v>
      </x:c>
      <x:c r="H170" s="108" t="str">
        <x:v>PASS</x:v>
      </x:c>
    </x:row>
    <x:row r="171">
      <x:c r="A171" s="108" t="n">
        <x:v>5</x:v>
      </x:c>
      <x:c r="B171" s="108" t="n">
        <x:v>4</x:v>
      </x:c>
      <x:c r="C171" s="108" t="n">
        <x:v>2</x:v>
      </x:c>
      <x:c r="D171" s="108" t="str">
        <x:v>lambda</x:v>
      </x:c>
      <x:c r="E171" s="125" t="str">
        <x:v>0.021999999999999999</x:v>
      </x:c>
      <x:c r="F171" s="125" t="str">
        <x:v>0.022000000000000000</x:v>
      </x:c>
      <x:c r="G171" s="125" t="n">
        <x:v>0</x:v>
      </x:c>
      <x:c r="H171" s="108" t="str">
        <x:v>PASS</x:v>
      </x:c>
    </x:row>
    <x:row r="172">
      <x:c r="A172" s="108" t="n">
        <x:v>5</x:v>
      </x:c>
      <x:c r="B172" s="108" t="n">
        <x:v>4</x:v>
      </x:c>
      <x:c r="C172" s="108" t="n">
        <x:v>2</x:v>
      </x:c>
      <x:c r="D172" s="108" t="str">
        <x:v>muCurrentStage</x:v>
      </x:c>
      <x:c r="E172" s="125" t="str">
        <x:v>0.050000000000000003</x:v>
      </x:c>
      <x:c r="F172" s="125" t="str">
        <x:v>0.050000000000000000</x:v>
      </x:c>
      <x:c r="G172" s="125" t="n">
        <x:v>0</x:v>
      </x:c>
      <x:c r="H172" s="108" t="str">
        <x:v>PASS</x:v>
      </x:c>
    </x:row>
    <x:row r="173">
      <x:c r="A173" s="108" t="n">
        <x:v>5</x:v>
      </x:c>
      <x:c r="B173" s="108" t="n">
        <x:v>4</x:v>
      </x:c>
      <x:c r="C173" s="108" t="n">
        <x:v>2</x:v>
      </x:c>
      <x:c r="D173" s="108" t="str">
        <x:v>recoveryMu</x:v>
      </x:c>
      <x:c r="E173" s="125" t="str">
        <x:v>0.050000000000000003</x:v>
      </x:c>
      <x:c r="F173" s="125" t="str">
        <x:v>0.050000000000000000</x:v>
      </x:c>
      <x:c r="G173" s="125" t="n">
        <x:v>0</x:v>
      </x:c>
      <x:c r="H173" s="108" t="str">
        <x:v>PASS</x:v>
      </x:c>
    </x:row>
    <x:row r="174">
      <x:c r="A174" s="108" t="n">
        <x:v>5</x:v>
      </x:c>
      <x:c r="B174" s="108" t="n">
        <x:v>4</x:v>
      </x:c>
      <x:c r="C174" s="108" t="n">
        <x:v>2</x:v>
      </x:c>
      <x:c r="D174" s="108" t="str">
        <x:v>r</x:v>
      </x:c>
      <x:c r="E174" s="125" t="str">
        <x:v>0.29999999999999999</x:v>
      </x:c>
      <x:c r="F174" s="125" t="str">
        <x:v>0.30000000000000000</x:v>
      </x:c>
      <x:c r="G174" s="125" t="n">
        <x:v>0</x:v>
      </x:c>
      <x:c r="H174" s="108" t="str">
        <x:v>PASS</x:v>
      </x:c>
    </x:row>
    <x:row r="175">
      <x:c r="A175" s="108" t="n">
        <x:v>5</x:v>
      </x:c>
      <x:c r="B175" s="108" t="n">
        <x:v>4</x:v>
      </x:c>
      <x:c r="C175" s="108" t="n">
        <x:v>2</x:v>
      </x:c>
      <x:c r="D175" s="108" t="str">
        <x:v>delta</x:v>
      </x:c>
      <x:c r="E175" s="125" t="str">
        <x:v>19.67311419394041</x:v>
      </x:c>
      <x:c r="F175" s="125" t="str">
        <x:v>19.673114193940410</x:v>
      </x:c>
      <x:c r="G175" s="125" t="n">
        <x:v>0</x:v>
      </x:c>
      <x:c r="H175" s="108" t="str">
        <x:v>PASS</x:v>
      </x:c>
    </x:row>
    <x:row r="176">
      <x:c r="A176" s="108" t="n">
        <x:v>5</x:v>
      </x:c>
      <x:c r="B176" s="108" t="n">
        <x:v>4</x:v>
      </x:c>
      <x:c r="C176" s="108" t="n">
        <x:v>2</x:v>
      </x:c>
      <x:c r="D176" s="108" t="str">
        <x:v>baseProcessing</x:v>
      </x:c>
      <x:c r="E176" s="125" t="str">
        <x:v>6</x:v>
      </x:c>
      <x:c r="F176" s="125" t="str">
        <x:v>6.0000000000000000</x:v>
      </x:c>
      <x:c r="G176" s="125" t="n">
        <x:v>0</x:v>
      </x:c>
      <x:c r="H176" s="108" t="str">
        <x:v>PASS</x:v>
      </x:c>
    </x:row>
    <x:row r="177">
      <x:c r="A177" s="108" t="n">
        <x:v>5</x:v>
      </x:c>
      <x:c r="B177" s="108" t="n">
        <x:v>4</x:v>
      </x:c>
      <x:c r="C177" s="108" t="n">
        <x:v>2</x:v>
      </x:c>
      <x:c r="D177" s="108" t="str">
        <x:v>baseSetup</x:v>
      </x:c>
      <x:c r="E177" s="125" t="str">
        <x:v>1.6666666666666667</x:v>
      </x:c>
      <x:c r="F177" s="125" t="str">
        <x:v>1.6666666666666667</x:v>
      </x:c>
      <x:c r="G177" s="125" t="n">
        <x:v>0</x:v>
      </x:c>
      <x:c r="H177" s="108" t="str">
        <x:v>PASS</x:v>
      </x:c>
    </x:row>
    <x:row r="178">
      <x:c r="A178" s="108" t="n">
        <x:v>5</x:v>
      </x:c>
      <x:c r="B178" s="108" t="n">
        <x:v>4</x:v>
      </x:c>
      <x:c r="C178" s="108" t="n">
        <x:v>2</x:v>
      </x:c>
      <x:c r="D178" s="108" t="str">
        <x:v>baseAT</x:v>
      </x:c>
      <x:c r="E178" s="125" t="str">
        <x:v>7.666666666666667</x:v>
      </x:c>
      <x:c r="F178" s="125" t="str">
        <x:v>7.6666666666666670</x:v>
      </x:c>
      <x:c r="G178" s="125" t="n">
        <x:v>0</x:v>
      </x:c>
      <x:c r="H178" s="108" t="str">
        <x:v>PASS</x:v>
      </x:c>
    </x:row>
    <x:row r="179">
      <x:c r="A179" s="108" t="n">
        <x:v>5</x:v>
      </x:c>
      <x:c r="B179" s="108" t="n">
        <x:v>4</x:v>
      </x:c>
      <x:c r="C179" s="108" t="n">
        <x:v>2</x:v>
      </x:c>
      <x:c r="D179" s="108" t="str">
        <x:v>fatigueMultiplier</x:v>
      </x:c>
      <x:c r="E179" s="125" t="str">
        <x:v>1.037161981317658</x:v>
      </x:c>
      <x:c r="F179" s="125" t="str">
        <x:v>1.0371619813176580</x:v>
      </x:c>
      <x:c r="G179" s="125" t="n">
        <x:v>0</x:v>
      </x:c>
      <x:c r="H179" s="108" t="str">
        <x:v>PASS</x:v>
      </x:c>
    </x:row>
    <x:row r="180">
      <x:c r="A180" s="108" t="n">
        <x:v>5</x:v>
      </x:c>
      <x:c r="B180" s="108" t="n">
        <x:v>4</x:v>
      </x:c>
      <x:c r="C180" s="108" t="n">
        <x:v>2</x:v>
      </x:c>
      <x:c r="D180" s="108" t="str">
        <x:v>actualProcessing</x:v>
      </x:c>
      <x:c r="E180" s="125" t="str">
        <x:v>6.2229718879059481</x:v>
      </x:c>
      <x:c r="F180" s="125" t="str">
        <x:v>6.2229718879059480</x:v>
      </x:c>
      <x:c r="G180" s="125" t="n">
        <x:v>0</x:v>
      </x:c>
      <x:c r="H180" s="108" t="str">
        <x:v>PASS</x:v>
      </x:c>
    </x:row>
    <x:row r="181">
      <x:c r="A181" s="108" t="n">
        <x:v>5</x:v>
      </x:c>
      <x:c r="B181" s="108" t="n">
        <x:v>4</x:v>
      </x:c>
      <x:c r="C181" s="108" t="n">
        <x:v>2</x:v>
      </x:c>
      <x:c r="D181" s="108" t="str">
        <x:v>actualSetup</x:v>
      </x:c>
      <x:c r="E181" s="125" t="str">
        <x:v>1.7286033021960967</x:v>
      </x:c>
      <x:c r="F181" s="125" t="str">
        <x:v>1.7286033021960967</x:v>
      </x:c>
      <x:c r="G181" s="125" t="n">
        <x:v>0</x:v>
      </x:c>
      <x:c r="H181" s="108" t="str">
        <x:v>PASS</x:v>
      </x:c>
    </x:row>
    <x:row r="182">
      <x:c r="A182" s="108" t="n">
        <x:v>5</x:v>
      </x:c>
      <x:c r="B182" s="108" t="n">
        <x:v>4</x:v>
      </x:c>
      <x:c r="C182" s="108" t="n">
        <x:v>2</x:v>
      </x:c>
      <x:c r="D182" s="108" t="str">
        <x:v>actualAT</x:v>
      </x:c>
      <x:c r="E182" s="125" t="str">
        <x:v>7.9515751901020444</x:v>
      </x:c>
      <x:c r="F182" s="125" t="str">
        <x:v>7.9515751901020440</x:v>
      </x:c>
      <x:c r="G182" s="125" t="n">
        <x:v>0</x:v>
      </x:c>
      <x:c r="H182" s="108" t="str">
        <x:v>PASS</x:v>
      </x:c>
    </x:row>
    <x:row r="183">
      <x:c r="A183" s="108" t="n">
        <x:v>5</x:v>
      </x:c>
      <x:c r="B183" s="108" t="n">
        <x:v>4</x:v>
      </x:c>
      <x:c r="C183" s="108" t="n">
        <x:v>2</x:v>
      </x:c>
      <x:c r="D183" s="108" t="str">
        <x:v>end</x:v>
      </x:c>
      <x:c r="E183" s="125" t="str">
        <x:v>25.951575190102044</x:v>
      </x:c>
      <x:c r="F183" s="125" t="str">
        <x:v>25.951575190102044</x:v>
      </x:c>
      <x:c r="G183" s="125" t="n">
        <x:v>0</x:v>
      </x:c>
      <x:c r="H183" s="108" t="str">
        <x:v>PASS</x:v>
      </x:c>
    </x:row>
    <x:row r="184">
      <x:c r="A184" s="108" t="n">
        <x:v>5</x:v>
      </x:c>
      <x:c r="B184" s="108" t="n">
        <x:v>4</x:v>
      </x:c>
      <x:c r="C184" s="108" t="n">
        <x:v>2</x:v>
      </x:c>
      <x:c r="D184" s="108" t="str">
        <x:v>fatigueAfter</x:v>
      </x:c>
      <x:c r="E184" s="125" t="str">
        <x:v>0.23575572725951838</x:v>
      </x:c>
      <x:c r="F184" s="125" t="str">
        <x:v>0.23575572725951838</x:v>
      </x:c>
      <x:c r="G184" s="125" t="n">
        <x:v>0</x:v>
      </x:c>
      <x:c r="H184" s="108" t="str">
        <x:v>PASS</x:v>
      </x:c>
    </x:row>
    <x:row r="185">
      <x:c r="A185" s="108" t="n">
        <x:v>5</x:v>
      </x:c>
      <x:c r="B185" s="108" t="n">
        <x:v>4</x:v>
      </x:c>
      <x:c r="C185" s="108" t="n">
        <x:v>2</x:v>
      </x:c>
      <x:c r="D185" s="108" t="str">
        <x:v>machineIdle</x:v>
      </x:c>
      <x:c r="E185" s="125" t="str">
        <x:v>0</x:v>
      </x:c>
      <x:c r="F185" s="125" t="str">
        <x:v>0.0000000000000000</x:v>
      </x:c>
      <x:c r="G185" s="125" t="n">
        <x:v>0</x:v>
      </x:c>
      <x:c r="H185" s="108" t="str">
        <x:v>PASS</x:v>
      </x:c>
    </x:row>
    <x:row r="186">
      <x:c r="A186" s="108" t="n">
        <x:v>5</x:v>
      </x:c>
      <x:c r="B186" s="108" t="n">
        <x:v>4</x:v>
      </x:c>
      <x:c r="C186" s="108" t="n">
        <x:v>2</x:v>
      </x:c>
      <x:c r="D186" s="108" t="str">
        <x:v>energy</x:v>
      </x:c>
      <x:c r="E186" s="125" t="str">
        <x:v>71.564176710918403</x:v>
      </x:c>
      <x:c r="F186" s="125" t="str">
        <x:v>71.564176710918400</x:v>
      </x:c>
      <x:c r="G186" s="125" t="n">
        <x:v>0</x:v>
      </x:c>
      <x:c r="H186" s="108" t="str">
        <x:v>PASS</x:v>
      </x:c>
    </x:row>
    <x:row r="187">
      <x:c r="A187" s="108" t="n">
        <x:v>5</x:v>
      </x:c>
      <x:c r="B187" s="108" t="n">
        <x:v>4</x:v>
      </x:c>
      <x:c r="C187" s="108" t="n">
        <x:v>2</x:v>
      </x:c>
      <x:c r="D187" s="108" t="str">
        <x:v>cost</x:v>
      </x:c>
      <x:c r="E187" s="125" t="str">
        <x:v>95.418902281224533</x:v>
      </x:c>
      <x:c r="F187" s="125" t="str">
        <x:v>95.418902281224530</x:v>
      </x:c>
      <x:c r="G187" s="125" t="n">
        <x:v>0</x:v>
      </x:c>
      <x:c r="H187" s="108" t="str">
        <x:v>PASS</x:v>
      </x:c>
    </x:row>
    <x:row r="188">
      <x:c r="A188" s="108" t="n">
        <x:v>5</x:v>
      </x:c>
      <x:c r="B188" s="108" t="n">
        <x:v>4</x:v>
      </x:c>
      <x:c r="C188" s="108" t="n">
        <x:v>2</x:v>
      </x:c>
      <x:c r="D188" s="108" t="str">
        <x:v>safeThresholdExceeded</x:v>
      </x:c>
      <x:c r="E188" s="125" t="str">
        <x:v>false</x:v>
      </x:c>
      <x:c r="F188" s="125" t="str">
        <x:v>false</x:v>
      </x:c>
      <x:c r="G188" s="125" t="str"/>
      <x:c r="H188" s="108" t="str">
        <x:v>PASS</x:v>
      </x:c>
    </x:row>
    <x:row r="189">
      <x:c r="A189" s="108" t="n">
        <x:v>6</x:v>
      </x:c>
      <x:c r="B189" s="108" t="n">
        <x:v>5</x:v>
      </x:c>
      <x:c r="C189" s="108" t="n">
        <x:v>2</x:v>
      </x:c>
      <x:c r="D189" s="108" t="str">
        <x:v>sequence</x:v>
      </x:c>
      <x:c r="E189" s="125" t="str">
        <x:v>6</x:v>
      </x:c>
      <x:c r="F189" s="125" t="str">
        <x:v>6</x:v>
      </x:c>
      <x:c r="G189" s="125" t="n">
        <x:v>0</x:v>
      </x:c>
      <x:c r="H189" s="108" t="str">
        <x:v>PASS</x:v>
      </x:c>
    </x:row>
    <x:row r="190">
      <x:c r="A190" s="108" t="n">
        <x:v>6</x:v>
      </x:c>
      <x:c r="B190" s="108" t="n">
        <x:v>5</x:v>
      </x:c>
      <x:c r="C190" s="108" t="n">
        <x:v>2</x:v>
      </x:c>
      <x:c r="D190" s="108" t="str">
        <x:v>job</x:v>
      </x:c>
      <x:c r="E190" s="125" t="str">
        <x:v>5</x:v>
      </x:c>
      <x:c r="F190" s="125" t="str">
        <x:v>5</x:v>
      </x:c>
      <x:c r="G190" s="125" t="n">
        <x:v>0</x:v>
      </x:c>
      <x:c r="H190" s="108" t="str">
        <x:v>PASS</x:v>
      </x:c>
    </x:row>
    <x:row r="191">
      <x:c r="A191" s="108" t="n">
        <x:v>6</x:v>
      </x:c>
      <x:c r="B191" s="108" t="n">
        <x:v>5</x:v>
      </x:c>
      <x:c r="C191" s="108" t="n">
        <x:v>2</x:v>
      </x:c>
      <x:c r="D191" s="108" t="str">
        <x:v>stage</x:v>
      </x:c>
      <x:c r="E191" s="125" t="str">
        <x:v>2</x:v>
      </x:c>
      <x:c r="F191" s="125" t="str">
        <x:v>2</x:v>
      </x:c>
      <x:c r="G191" s="125" t="n">
        <x:v>0</x:v>
      </x:c>
      <x:c r="H191" s="108" t="str">
        <x:v>PASS</x:v>
      </x:c>
    </x:row>
    <x:row r="192">
      <x:c r="A192" s="108" t="n">
        <x:v>6</x:v>
      </x:c>
      <x:c r="B192" s="108" t="n">
        <x:v>5</x:v>
      </x:c>
      <x:c r="C192" s="108" t="n">
        <x:v>2</x:v>
      </x:c>
      <x:c r="D192" s="108" t="str">
        <x:v>factory</x:v>
      </x:c>
      <x:c r="E192" s="125" t="str">
        <x:v>1</x:v>
      </x:c>
      <x:c r="F192" s="125" t="str">
        <x:v>1</x:v>
      </x:c>
      <x:c r="G192" s="125" t="n">
        <x:v>0</x:v>
      </x:c>
      <x:c r="H192" s="108" t="str">
        <x:v>PASS</x:v>
      </x:c>
    </x:row>
    <x:row r="193">
      <x:c r="A193" s="108" t="n">
        <x:v>6</x:v>
      </x:c>
      <x:c r="B193" s="108" t="n">
        <x:v>5</x:v>
      </x:c>
      <x:c r="C193" s="108" t="n">
        <x:v>2</x:v>
      </x:c>
      <x:c r="D193" s="108" t="str">
        <x:v>machine</x:v>
      </x:c>
      <x:c r="E193" s="125" t="str">
        <x:v>1</x:v>
      </x:c>
      <x:c r="F193" s="125" t="str">
        <x:v>1</x:v>
      </x:c>
      <x:c r="G193" s="125" t="n">
        <x:v>0</x:v>
      </x:c>
      <x:c r="H193" s="108" t="str">
        <x:v>PASS</x:v>
      </x:c>
    </x:row>
    <x:row r="194">
      <x:c r="A194" s="108" t="n">
        <x:v>6</x:v>
      </x:c>
      <x:c r="B194" s="108" t="n">
        <x:v>5</x:v>
      </x:c>
      <x:c r="C194" s="108" t="n">
        <x:v>2</x:v>
      </x:c>
      <x:c r="D194" s="108" t="str">
        <x:v>worker</x:v>
      </x:c>
      <x:c r="E194" s="125" t="str">
        <x:v>3</x:v>
      </x:c>
      <x:c r="F194" s="125" t="str">
        <x:v>3</x:v>
      </x:c>
      <x:c r="G194" s="125" t="n">
        <x:v>0</x:v>
      </x:c>
      <x:c r="H194" s="108" t="str">
        <x:v>PASS</x:v>
      </x:c>
    </x:row>
    <x:row r="195">
      <x:c r="A195" s="108" t="n">
        <x:v>6</x:v>
      </x:c>
      <x:c r="B195" s="108" t="n">
        <x:v>5</x:v>
      </x:c>
      <x:c r="C195" s="108" t="n">
        <x:v>2</x:v>
      </x:c>
      <x:c r="D195" s="108" t="str">
        <x:v>predecessorCompletion</x:v>
      </x:c>
      <x:c r="E195" s="125" t="str">
        <x:v>23.360506753953242</x:v>
      </x:c>
      <x:c r="F195" s="125" t="str">
        <x:v>23.360506753953242</x:v>
      </x:c>
      <x:c r="G195" s="125" t="n">
        <x:v>0</x:v>
      </x:c>
      <x:c r="H195" s="108" t="str">
        <x:v>PASS</x:v>
      </x:c>
    </x:row>
    <x:row r="196">
      <x:c r="A196" s="108" t="n">
        <x:v>6</x:v>
      </x:c>
      <x:c r="B196" s="108" t="n">
        <x:v>5</x:v>
      </x:c>
      <x:c r="C196" s="108" t="n">
        <x:v>2</x:v>
      </x:c>
      <x:c r="D196" s="108" t="str">
        <x:v>machineAvailableBefore</x:v>
      </x:c>
      <x:c r="E196" s="125" t="str">
        <x:v>15</x:v>
      </x:c>
      <x:c r="F196" s="125" t="str">
        <x:v>15.000000000000000</x:v>
      </x:c>
      <x:c r="G196" s="125" t="n">
        <x:v>0</x:v>
      </x:c>
      <x:c r="H196" s="108" t="str">
        <x:v>PASS</x:v>
      </x:c>
    </x:row>
    <x:row r="197">
      <x:c r="A197" s="108" t="n">
        <x:v>6</x:v>
      </x:c>
      <x:c r="B197" s="108" t="n">
        <x:v>5</x:v>
      </x:c>
      <x:c r="C197" s="108" t="n">
        <x:v>2</x:v>
      </x:c>
      <x:c r="D197" s="108" t="str">
        <x:v>workerAvailableBefore</x:v>
      </x:c>
      <x:c r="E197" s="125" t="str">
        <x:v>0</x:v>
      </x:c>
      <x:c r="F197" s="125" t="str">
        <x:v>0.0000000000000000</x:v>
      </x:c>
      <x:c r="G197" s="125" t="n">
        <x:v>0</x:v>
      </x:c>
      <x:c r="H197" s="108" t="str">
        <x:v>PASS</x:v>
      </x:c>
    </x:row>
    <x:row r="198">
      <x:c r="A198" s="108" t="n">
        <x:v>6</x:v>
      </x:c>
      <x:c r="B198" s="108" t="n">
        <x:v>5</x:v>
      </x:c>
      <x:c r="C198" s="108" t="n">
        <x:v>2</x:v>
      </x:c>
      <x:c r="D198" s="108" t="str">
        <x:v>start</x:v>
      </x:c>
      <x:c r="E198" s="125" t="str">
        <x:v>23.360506753953242</x:v>
      </x:c>
      <x:c r="F198" s="125" t="str">
        <x:v>23.360506753953242</x:v>
      </x:c>
      <x:c r="G198" s="125" t="n">
        <x:v>0</x:v>
      </x:c>
      <x:c r="H198" s="108" t="str">
        <x:v>PASS</x:v>
      </x:c>
    </x:row>
    <x:row r="199">
      <x:c r="A199" s="108" t="n">
        <x:v>6</x:v>
      </x:c>
      <x:c r="B199" s="108" t="n">
        <x:v>5</x:v>
      </x:c>
      <x:c r="C199" s="108" t="n">
        <x:v>2</x:v>
      </x:c>
      <x:c r="D199" s="108" t="str">
        <x:v>recoveryDuration</x:v>
      </x:c>
      <x:c r="E199" s="125" t="str">
        <x:v>0</x:v>
      </x:c>
      <x:c r="F199" s="125" t="str">
        <x:v>0.0000000000000000</x:v>
      </x:c>
      <x:c r="G199" s="125" t="n">
        <x:v>0</x:v>
      </x:c>
      <x:c r="H199" s="108" t="str">
        <x:v>PASS</x:v>
      </x:c>
    </x:row>
    <x:row r="200">
      <x:c r="A200" s="108" t="n">
        <x:v>6</x:v>
      </x:c>
      <x:c r="B200" s="108" t="n">
        <x:v>5</x:v>
      </x:c>
      <x:c r="C200" s="108" t="n">
        <x:v>2</x:v>
      </x:c>
      <x:c r="D200" s="108" t="str">
        <x:v>fatigueBeforeRecovery</x:v>
      </x:c>
      <x:c r="E200" s="125" t="str">
        <x:v>0</x:v>
      </x:c>
      <x:c r="F200" s="125" t="str">
        <x:v>0.0000000000000000</x:v>
      </x:c>
      <x:c r="G200" s="125" t="n">
        <x:v>0</x:v>
      </x:c>
      <x:c r="H200" s="108" t="str">
        <x:v>PASS</x:v>
      </x:c>
    </x:row>
    <x:row r="201">
      <x:c r="A201" s="108" t="n">
        <x:v>6</x:v>
      </x:c>
      <x:c r="B201" s="108" t="n">
        <x:v>5</x:v>
      </x:c>
      <x:c r="C201" s="108" t="n">
        <x:v>2</x:v>
      </x:c>
      <x:c r="D201" s="108" t="str">
        <x:v>fatigueAtStart</x:v>
      </x:c>
      <x:c r="E201" s="125" t="str">
        <x:v>0</x:v>
      </x:c>
      <x:c r="F201" s="125" t="str">
        <x:v>0.0000000000000000</x:v>
      </x:c>
      <x:c r="G201" s="125" t="n">
        <x:v>0</x:v>
      </x:c>
      <x:c r="H201" s="108" t="str">
        <x:v>PASS</x:v>
      </x:c>
    </x:row>
    <x:row r="202">
      <x:c r="A202" s="108" t="n">
        <x:v>6</x:v>
      </x:c>
      <x:c r="B202" s="108" t="n">
        <x:v>5</x:v>
      </x:c>
      <x:c r="C202" s="108" t="n">
        <x:v>2</x:v>
      </x:c>
      <x:c r="D202" s="108" t="str">
        <x:v>ST</x:v>
      </x:c>
      <x:c r="E202" s="125" t="str">
        <x:v>7</x:v>
      </x:c>
      <x:c r="F202" s="125" t="str">
        <x:v>7</x:v>
      </x:c>
      <x:c r="G202" s="125" t="n">
        <x:v>0</x:v>
      </x:c>
      <x:c r="H202" s="108" t="str">
        <x:v>PASS</x:v>
      </x:c>
    </x:row>
    <x:row r="203">
      <x:c r="A203" s="108" t="n">
        <x:v>6</x:v>
      </x:c>
      <x:c r="B203" s="108" t="n">
        <x:v>5</x:v>
      </x:c>
      <x:c r="C203" s="108" t="n">
        <x:v>2</x:v>
      </x:c>
      <x:c r="D203" s="108" t="str">
        <x:v>SUT</x:v>
      </x:c>
      <x:c r="E203" s="125" t="str">
        <x:v>1</x:v>
      </x:c>
      <x:c r="F203" s="125" t="str">
        <x:v>1</x:v>
      </x:c>
      <x:c r="G203" s="125" t="n">
        <x:v>0</x:v>
      </x:c>
      <x:c r="H203" s="108" t="str">
        <x:v>PASS</x:v>
      </x:c>
    </x:row>
    <x:row r="204">
      <x:c r="A204" s="108" t="n">
        <x:v>6</x:v>
      </x:c>
      <x:c r="B204" s="108" t="n">
        <x:v>5</x:v>
      </x:c>
      <x:c r="C204" s="108" t="n">
        <x:v>2</x:v>
      </x:c>
      <x:c r="D204" s="108" t="str">
        <x:v>machineSpeed</x:v>
      </x:c>
      <x:c r="E204" s="125" t="str">
        <x:v>1</x:v>
      </x:c>
      <x:c r="F204" s="125" t="str">
        <x:v>1.0000000000000000</x:v>
      </x:c>
      <x:c r="G204" s="125" t="n">
        <x:v>0</x:v>
      </x:c>
      <x:c r="H204" s="108" t="str">
        <x:v>PASS</x:v>
      </x:c>
    </x:row>
    <x:row r="205">
      <x:c r="A205" s="108" t="n">
        <x:v>6</x:v>
      </x:c>
      <x:c r="B205" s="108" t="n">
        <x:v>5</x:v>
      </x:c>
      <x:c r="C205" s="108" t="n">
        <x:v>2</x:v>
      </x:c>
      <x:c r="D205" s="108" t="str">
        <x:v>machinePower</x:v>
      </x:c>
      <x:c r="E205" s="125" t="str">
        <x:v>7</x:v>
      </x:c>
      <x:c r="F205" s="125" t="str">
        <x:v>7</x:v>
      </x:c>
      <x:c r="G205" s="125" t="n">
        <x:v>0</x:v>
      </x:c>
      <x:c r="H205" s="108" t="str">
        <x:v>PASS</x:v>
      </x:c>
    </x:row>
    <x:row r="206">
      <x:c r="A206" s="108" t="n">
        <x:v>6</x:v>
      </x:c>
      <x:c r="B206" s="108" t="n">
        <x:v>5</x:v>
      </x:c>
      <x:c r="C206" s="108" t="n">
        <x:v>2</x:v>
      </x:c>
      <x:c r="D206" s="108" t="str">
        <x:v>workerEfficiency</x:v>
      </x:c>
      <x:c r="E206" s="125" t="str">
        <x:v>1</x:v>
      </x:c>
      <x:c r="F206" s="125" t="str">
        <x:v>1.0000000000000000</x:v>
      </x:c>
      <x:c r="G206" s="125" t="n">
        <x:v>0</x:v>
      </x:c>
      <x:c r="H206" s="108" t="str">
        <x:v>PASS</x:v>
      </x:c>
    </x:row>
    <x:row r="207">
      <x:c r="A207" s="108" t="n">
        <x:v>6</x:v>
      </x:c>
      <x:c r="B207" s="108" t="n">
        <x:v>5</x:v>
      </x:c>
      <x:c r="C207" s="108" t="n">
        <x:v>2</x:v>
      </x:c>
      <x:c r="D207" s="108" t="str">
        <x:v>workerCost</x:v>
      </x:c>
      <x:c r="E207" s="125" t="str">
        <x:v>10</x:v>
      </x:c>
      <x:c r="F207" s="125" t="str">
        <x:v>10</x:v>
      </x:c>
      <x:c r="G207" s="125" t="n">
        <x:v>0</x:v>
      </x:c>
      <x:c r="H207" s="108" t="str">
        <x:v>PASS</x:v>
      </x:c>
    </x:row>
    <x:row r="208">
      <x:c r="A208" s="108" t="n">
        <x:v>6</x:v>
      </x:c>
      <x:c r="B208" s="108" t="n">
        <x:v>5</x:v>
      </x:c>
      <x:c r="C208" s="108" t="n">
        <x:v>2</x:v>
      </x:c>
      <x:c r="D208" s="108" t="str">
        <x:v>lambda</x:v>
      </x:c>
      <x:c r="E208" s="125" t="str">
        <x:v>0.017999999999999999</x:v>
      </x:c>
      <x:c r="F208" s="125" t="str">
        <x:v>0.018000000000000000</x:v>
      </x:c>
      <x:c r="G208" s="125" t="n">
        <x:v>0</x:v>
      </x:c>
      <x:c r="H208" s="108" t="str">
        <x:v>PASS</x:v>
      </x:c>
    </x:row>
    <x:row r="209">
      <x:c r="A209" s="108" t="n">
        <x:v>6</x:v>
      </x:c>
      <x:c r="B209" s="108" t="n">
        <x:v>5</x:v>
      </x:c>
      <x:c r="C209" s="108" t="n">
        <x:v>2</x:v>
      </x:c>
      <x:c r="D209" s="108" t="str">
        <x:v>muCurrentStage</x:v>
      </x:c>
      <x:c r="E209" s="125" t="str">
        <x:v>0.059999999999999998</x:v>
      </x:c>
      <x:c r="F209" s="125" t="str">
        <x:v>0.060000000000000000</x:v>
      </x:c>
      <x:c r="G209" s="125" t="n">
        <x:v>0</x:v>
      </x:c>
      <x:c r="H209" s="108" t="str">
        <x:v>PASS</x:v>
      </x:c>
    </x:row>
    <x:row r="210">
      <x:c r="A210" s="108" t="n">
        <x:v>6</x:v>
      </x:c>
      <x:c r="B210" s="108" t="n">
        <x:v>5</x:v>
      </x:c>
      <x:c r="C210" s="108" t="n">
        <x:v>2</x:v>
      </x:c>
      <x:c r="D210" s="108" t="str">
        <x:v>recoveryMu</x:v>
      </x:c>
      <x:c r="E210" s="125" t="str">
        <x:v>0.059999999999999998</x:v>
      </x:c>
      <x:c r="F210" s="125" t="str">
        <x:v>0.060000000000000000</x:v>
      </x:c>
      <x:c r="G210" s="125" t="n">
        <x:v>0</x:v>
      </x:c>
      <x:c r="H210" s="108" t="str">
        <x:v>PASS</x:v>
      </x:c>
    </x:row>
    <x:row r="211">
      <x:c r="A211" s="108" t="n">
        <x:v>6</x:v>
      </x:c>
      <x:c r="B211" s="108" t="n">
        <x:v>5</x:v>
      </x:c>
      <x:c r="C211" s="108" t="n">
        <x:v>2</x:v>
      </x:c>
      <x:c r="D211" s="108" t="str">
        <x:v>r</x:v>
      </x:c>
      <x:c r="E211" s="125" t="str">
        <x:v>0.29999999999999999</x:v>
      </x:c>
      <x:c r="F211" s="125" t="str">
        <x:v>0.30000000000000000</x:v>
      </x:c>
      <x:c r="G211" s="125" t="n">
        <x:v>0</x:v>
      </x:c>
      <x:c r="H211" s="108" t="str">
        <x:v>PASS</x:v>
      </x:c>
    </x:row>
    <x:row r="212">
      <x:c r="A212" s="108" t="n">
        <x:v>6</x:v>
      </x:c>
      <x:c r="B212" s="108" t="n">
        <x:v>5</x:v>
      </x:c>
      <x:c r="C212" s="108" t="n">
        <x:v>2</x:v>
      </x:c>
      <x:c r="D212" s="108" t="str">
        <x:v>delta</x:v>
      </x:c>
      <x:c r="E212" s="125" t="str">
        <x:v>24.044917348149394</x:v>
      </x:c>
      <x:c r="F212" s="125" t="str">
        <x:v>24.044917348149394</x:v>
      </x:c>
      <x:c r="G212" s="125" t="n">
        <x:v>0</x:v>
      </x:c>
      <x:c r="H212" s="108" t="str">
        <x:v>PASS</x:v>
      </x:c>
    </x:row>
    <x:row r="213">
      <x:c r="A213" s="108" t="n">
        <x:v>6</x:v>
      </x:c>
      <x:c r="B213" s="108" t="n">
        <x:v>5</x:v>
      </x:c>
      <x:c r="C213" s="108" t="n">
        <x:v>2</x:v>
      </x:c>
      <x:c r="D213" s="108" t="str">
        <x:v>baseProcessing</x:v>
      </x:c>
      <x:c r="E213" s="125" t="str">
        <x:v>7</x:v>
      </x:c>
      <x:c r="F213" s="125" t="str">
        <x:v>7.0000000000000000</x:v>
      </x:c>
      <x:c r="G213" s="125" t="n">
        <x:v>0</x:v>
      </x:c>
      <x:c r="H213" s="108" t="str">
        <x:v>PASS</x:v>
      </x:c>
    </x:row>
    <x:row r="214">
      <x:c r="A214" s="108" t="n">
        <x:v>6</x:v>
      </x:c>
      <x:c r="B214" s="108" t="n">
        <x:v>5</x:v>
      </x:c>
      <x:c r="C214" s="108" t="n">
        <x:v>2</x:v>
      </x:c>
      <x:c r="D214" s="108" t="str">
        <x:v>baseSetup</x:v>
      </x:c>
      <x:c r="E214" s="125" t="str">
        <x:v>1</x:v>
      </x:c>
      <x:c r="F214" s="125" t="str">
        <x:v>1.0000000000000000</x:v>
      </x:c>
      <x:c r="G214" s="125" t="n">
        <x:v>0</x:v>
      </x:c>
      <x:c r="H214" s="108" t="str">
        <x:v>PASS</x:v>
      </x:c>
    </x:row>
    <x:row r="215">
      <x:c r="A215" s="108" t="n">
        <x:v>6</x:v>
      </x:c>
      <x:c r="B215" s="108" t="n">
        <x:v>5</x:v>
      </x:c>
      <x:c r="C215" s="108" t="n">
        <x:v>2</x:v>
      </x:c>
      <x:c r="D215" s="108" t="str">
        <x:v>baseAT</x:v>
      </x:c>
      <x:c r="E215" s="125" t="str">
        <x:v>8</x:v>
      </x:c>
      <x:c r="F215" s="125" t="str">
        <x:v>8.0000000000000000</x:v>
      </x:c>
      <x:c r="G215" s="125" t="n">
        <x:v>0</x:v>
      </x:c>
      <x:c r="H215" s="108" t="str">
        <x:v>PASS</x:v>
      </x:c>
    </x:row>
    <x:row r="216">
      <x:c r="A216" s="108" t="n">
        <x:v>6</x:v>
      </x:c>
      <x:c r="B216" s="108" t="n">
        <x:v>5</x:v>
      </x:c>
      <x:c r="C216" s="108" t="n">
        <x:v>2</x:v>
      </x:c>
      <x:c r="D216" s="108" t="str">
        <x:v>fatigueMultiplier</x:v>
      </x:c>
      <x:c r="E216" s="125" t="str">
        <x:v>1</x:v>
      </x:c>
      <x:c r="F216" s="125" t="str">
        <x:v>1.0000000000000000</x:v>
      </x:c>
      <x:c r="G216" s="125" t="n">
        <x:v>0</x:v>
      </x:c>
      <x:c r="H216" s="108" t="str">
        <x:v>PASS</x:v>
      </x:c>
    </x:row>
    <x:row r="217">
      <x:c r="A217" s="108" t="n">
        <x:v>6</x:v>
      </x:c>
      <x:c r="B217" s="108" t="n">
        <x:v>5</x:v>
      </x:c>
      <x:c r="C217" s="108" t="n">
        <x:v>2</x:v>
      </x:c>
      <x:c r="D217" s="108" t="str">
        <x:v>actualProcessing</x:v>
      </x:c>
      <x:c r="E217" s="125" t="str">
        <x:v>7</x:v>
      </x:c>
      <x:c r="F217" s="125" t="str">
        <x:v>7.0000000000000000</x:v>
      </x:c>
      <x:c r="G217" s="125" t="n">
        <x:v>0</x:v>
      </x:c>
      <x:c r="H217" s="108" t="str">
        <x:v>PASS</x:v>
      </x:c>
    </x:row>
    <x:row r="218">
      <x:c r="A218" s="108" t="n">
        <x:v>6</x:v>
      </x:c>
      <x:c r="B218" s="108" t="n">
        <x:v>5</x:v>
      </x:c>
      <x:c r="C218" s="108" t="n">
        <x:v>2</x:v>
      </x:c>
      <x:c r="D218" s="108" t="str">
        <x:v>actualSetup</x:v>
      </x:c>
      <x:c r="E218" s="125" t="str">
        <x:v>1</x:v>
      </x:c>
      <x:c r="F218" s="125" t="str">
        <x:v>1.0000000000000000</x:v>
      </x:c>
      <x:c r="G218" s="125" t="n">
        <x:v>0</x:v>
      </x:c>
      <x:c r="H218" s="108" t="str">
        <x:v>PASS</x:v>
      </x:c>
    </x:row>
    <x:row r="219">
      <x:c r="A219" s="108" t="n">
        <x:v>6</x:v>
      </x:c>
      <x:c r="B219" s="108" t="n">
        <x:v>5</x:v>
      </x:c>
      <x:c r="C219" s="108" t="n">
        <x:v>2</x:v>
      </x:c>
      <x:c r="D219" s="108" t="str">
        <x:v>actualAT</x:v>
      </x:c>
      <x:c r="E219" s="125" t="str">
        <x:v>8</x:v>
      </x:c>
      <x:c r="F219" s="125" t="str">
        <x:v>8.0000000000000000</x:v>
      </x:c>
      <x:c r="G219" s="125" t="n">
        <x:v>0</x:v>
      </x:c>
      <x:c r="H219" s="108" t="str">
        <x:v>PASS</x:v>
      </x:c>
    </x:row>
    <x:row r="220">
      <x:c r="A220" s="108" t="n">
        <x:v>6</x:v>
      </x:c>
      <x:c r="B220" s="108" t="n">
        <x:v>5</x:v>
      </x:c>
      <x:c r="C220" s="108" t="n">
        <x:v>2</x:v>
      </x:c>
      <x:c r="D220" s="108" t="str">
        <x:v>end</x:v>
      </x:c>
      <x:c r="E220" s="125" t="str">
        <x:v>31.360506753953242</x:v>
      </x:c>
      <x:c r="F220" s="125" t="str">
        <x:v>31.360506753953242</x:v>
      </x:c>
      <x:c r="G220" s="125" t="n">
        <x:v>0</x:v>
      </x:c>
      <x:c r="H220" s="108" t="str">
        <x:v>PASS</x:v>
      </x:c>
    </x:row>
    <x:row r="221">
      <x:c r="A221" s="108" t="n">
        <x:v>6</x:v>
      </x:c>
      <x:c r="B221" s="108" t="n">
        <x:v>5</x:v>
      </x:c>
      <x:c r="C221" s="108" t="n">
        <x:v>2</x:v>
      </x:c>
      <x:c r="D221" s="108" t="str">
        <x:v>fatigueAfter</x:v>
      </x:c>
      <x:c r="E221" s="125" t="str">
        <x:v>0.13411225194079499</x:v>
      </x:c>
      <x:c r="F221" s="125" t="str">
        <x:v>0.13411225194079499</x:v>
      </x:c>
      <x:c r="G221" s="125" t="n">
        <x:v>0</x:v>
      </x:c>
      <x:c r="H221" s="108" t="str">
        <x:v>PASS</x:v>
      </x:c>
    </x:row>
    <x:row r="222">
      <x:c r="A222" s="108" t="n">
        <x:v>6</x:v>
      </x:c>
      <x:c r="B222" s="108" t="n">
        <x:v>5</x:v>
      </x:c>
      <x:c r="C222" s="108" t="n">
        <x:v>2</x:v>
      </x:c>
      <x:c r="D222" s="108" t="str">
        <x:v>machineIdle</x:v>
      </x:c>
      <x:c r="E222" s="125" t="str">
        <x:v>8.3605067539532421</x:v>
      </x:c>
      <x:c r="F222" s="125" t="str">
        <x:v>8.3605067539532460</x:v>
      </x:c>
      <x:c r="G222" s="125" t="n">
        <x:v>3.552713678800501e-15</x:v>
      </x:c>
      <x:c r="H222" s="108" t="str">
        <x:v>PASS</x:v>
      </x:c>
    </x:row>
    <x:row r="223">
      <x:c r="A223" s="108" t="n">
        <x:v>6</x:v>
      </x:c>
      <x:c r="B223" s="108" t="n">
        <x:v>5</x:v>
      </x:c>
      <x:c r="C223" s="108" t="n">
        <x:v>2</x:v>
      </x:c>
      <x:c r="D223" s="108" t="str">
        <x:v>energy</x:v>
      </x:c>
      <x:c r="E223" s="125" t="str">
        <x:v>64.360506753953246</x:v>
      </x:c>
      <x:c r="F223" s="125" t="str">
        <x:v>64.360506753953250</x:v>
      </x:c>
      <x:c r="G223" s="125" t="n">
        <x:v>0</x:v>
      </x:c>
      <x:c r="H223" s="108" t="str">
        <x:v>PASS</x:v>
      </x:c>
    </x:row>
    <x:row r="224">
      <x:c r="A224" s="108" t="n">
        <x:v>6</x:v>
      </x:c>
      <x:c r="B224" s="108" t="n">
        <x:v>5</x:v>
      </x:c>
      <x:c r="C224" s="108" t="n">
        <x:v>2</x:v>
      </x:c>
      <x:c r="D224" s="108" t="str">
        <x:v>cost</x:v>
      </x:c>
      <x:c r="E224" s="125" t="str">
        <x:v>163.60506753953243</x:v>
      </x:c>
      <x:c r="F224" s="125" t="str">
        <x:v>163.60506753953243</x:v>
      </x:c>
      <x:c r="G224" s="125" t="n">
        <x:v>0</x:v>
      </x:c>
      <x:c r="H224" s="108" t="str">
        <x:v>PASS</x:v>
      </x:c>
    </x:row>
    <x:row r="225">
      <x:c r="A225" s="108" t="n">
        <x:v>6</x:v>
      </x:c>
      <x:c r="B225" s="108" t="n">
        <x:v>5</x:v>
      </x:c>
      <x:c r="C225" s="108" t="n">
        <x:v>2</x:v>
      </x:c>
      <x:c r="D225" s="108" t="str">
        <x:v>safeThresholdExceeded</x:v>
      </x:c>
      <x:c r="E225" s="125" t="str">
        <x:v>false</x:v>
      </x:c>
      <x:c r="F225" s="125" t="str">
        <x:v>false</x:v>
      </x:c>
      <x:c r="G225" s="125" t="str"/>
      <x:c r="H225" s="108" t="str">
        <x:v>PASS</x:v>
      </x:c>
    </x:row>
    <x:row r="226">
      <x:c r="A226" s="108" t="n">
        <x:v>7</x:v>
      </x:c>
      <x:c r="B226" s="108" t="n">
        <x:v>1</x:v>
      </x:c>
      <x:c r="C226" s="108" t="n">
        <x:v>1</x:v>
      </x:c>
      <x:c r="D226" s="108" t="str">
        <x:v>sequence</x:v>
      </x:c>
      <x:c r="E226" s="125" t="str">
        <x:v>7</x:v>
      </x:c>
      <x:c r="F226" s="125" t="str">
        <x:v>7</x:v>
      </x:c>
      <x:c r="G226" s="125" t="n">
        <x:v>0</x:v>
      </x:c>
      <x:c r="H226" s="108" t="str">
        <x:v>PASS</x:v>
      </x:c>
    </x:row>
    <x:row r="227">
      <x:c r="A227" s="108" t="n">
        <x:v>7</x:v>
      </x:c>
      <x:c r="B227" s="108" t="n">
        <x:v>1</x:v>
      </x:c>
      <x:c r="C227" s="108" t="n">
        <x:v>1</x:v>
      </x:c>
      <x:c r="D227" s="108" t="str">
        <x:v>job</x:v>
      </x:c>
      <x:c r="E227" s="125" t="str">
        <x:v>1</x:v>
      </x:c>
      <x:c r="F227" s="125" t="str">
        <x:v>1</x:v>
      </x:c>
      <x:c r="G227" s="125" t="n">
        <x:v>0</x:v>
      </x:c>
      <x:c r="H227" s="108" t="str">
        <x:v>PASS</x:v>
      </x:c>
    </x:row>
    <x:row r="228">
      <x:c r="A228" s="108" t="n">
        <x:v>7</x:v>
      </x:c>
      <x:c r="B228" s="108" t="n">
        <x:v>1</x:v>
      </x:c>
      <x:c r="C228" s="108" t="n">
        <x:v>1</x:v>
      </x:c>
      <x:c r="D228" s="108" t="str">
        <x:v>stage</x:v>
      </x:c>
      <x:c r="E228" s="125" t="str">
        <x:v>1</x:v>
      </x:c>
      <x:c r="F228" s="125" t="str">
        <x:v>1</x:v>
      </x:c>
      <x:c r="G228" s="125" t="n">
        <x:v>0</x:v>
      </x:c>
      <x:c r="H228" s="108" t="str">
        <x:v>PASS</x:v>
      </x:c>
    </x:row>
    <x:row r="229">
      <x:c r="A229" s="108" t="n">
        <x:v>7</x:v>
      </x:c>
      <x:c r="B229" s="108" t="n">
        <x:v>1</x:v>
      </x:c>
      <x:c r="C229" s="108" t="n">
        <x:v>1</x:v>
      </x:c>
      <x:c r="D229" s="108" t="str">
        <x:v>factory</x:v>
      </x:c>
      <x:c r="E229" s="125" t="str">
        <x:v>2</x:v>
      </x:c>
      <x:c r="F229" s="125" t="str">
        <x:v>2</x:v>
      </x:c>
      <x:c r="G229" s="125" t="n">
        <x:v>0</x:v>
      </x:c>
      <x:c r="H229" s="108" t="str">
        <x:v>PASS</x:v>
      </x:c>
    </x:row>
    <x:row r="230">
      <x:c r="A230" s="108" t="n">
        <x:v>7</x:v>
      </x:c>
      <x:c r="B230" s="108" t="n">
        <x:v>1</x:v>
      </x:c>
      <x:c r="C230" s="108" t="n">
        <x:v>1</x:v>
      </x:c>
      <x:c r="D230" s="108" t="str">
        <x:v>machine</x:v>
      </x:c>
      <x:c r="E230" s="125" t="str">
        <x:v>1</x:v>
      </x:c>
      <x:c r="F230" s="125" t="str">
        <x:v>1</x:v>
      </x:c>
      <x:c r="G230" s="125" t="n">
        <x:v>0</x:v>
      </x:c>
      <x:c r="H230" s="108" t="str">
        <x:v>PASS</x:v>
      </x:c>
    </x:row>
    <x:row r="231">
      <x:c r="A231" s="108" t="n">
        <x:v>7</x:v>
      </x:c>
      <x:c r="B231" s="108" t="n">
        <x:v>1</x:v>
      </x:c>
      <x:c r="C231" s="108" t="n">
        <x:v>1</x:v>
      </x:c>
      <x:c r="D231" s="108" t="str">
        <x:v>worker</x:v>
      </x:c>
      <x:c r="E231" s="125" t="str">
        <x:v>1</x:v>
      </x:c>
      <x:c r="F231" s="125" t="str">
        <x:v>1</x:v>
      </x:c>
      <x:c r="G231" s="125" t="n">
        <x:v>0</x:v>
      </x:c>
      <x:c r="H231" s="108" t="str">
        <x:v>PASS</x:v>
      </x:c>
    </x:row>
    <x:row r="232">
      <x:c r="A232" s="108" t="n">
        <x:v>7</x:v>
      </x:c>
      <x:c r="B232" s="108" t="n">
        <x:v>1</x:v>
      </x:c>
      <x:c r="C232" s="108" t="n">
        <x:v>1</x:v>
      </x:c>
      <x:c r="D232" s="108" t="str">
        <x:v>predecessorCompletion</x:v>
      </x:c>
      <x:c r="E232" s="125" t="str">
        <x:v>0</x:v>
      </x:c>
      <x:c r="F232" s="125" t="str">
        <x:v>0.0000000000000000</x:v>
      </x:c>
      <x:c r="G232" s="125" t="n">
        <x:v>0</x:v>
      </x:c>
      <x:c r="H232" s="108" t="str">
        <x:v>PASS</x:v>
      </x:c>
    </x:row>
    <x:row r="233">
      <x:c r="A233" s="108" t="n">
        <x:v>7</x:v>
      </x:c>
      <x:c r="B233" s="108" t="n">
        <x:v>1</x:v>
      </x:c>
      <x:c r="C233" s="108" t="n">
        <x:v>1</x:v>
      </x:c>
      <x:c r="D233" s="108" t="str">
        <x:v>machineAvailableBefore</x:v>
      </x:c>
      <x:c r="E233" s="125" t="str">
        <x:v>0</x:v>
      </x:c>
      <x:c r="F233" s="125" t="str">
        <x:v>0.0000000000000000</x:v>
      </x:c>
      <x:c r="G233" s="125" t="n">
        <x:v>0</x:v>
      </x:c>
      <x:c r="H233" s="108" t="str">
        <x:v>PASS</x:v>
      </x:c>
    </x:row>
    <x:row r="234">
      <x:c r="A234" s="108" t="n">
        <x:v>7</x:v>
      </x:c>
      <x:c r="B234" s="108" t="n">
        <x:v>1</x:v>
      </x:c>
      <x:c r="C234" s="108" t="n">
        <x:v>1</x:v>
      </x:c>
      <x:c r="D234" s="108" t="str">
        <x:v>workerAvailableBefore</x:v>
      </x:c>
      <x:c r="E234" s="125" t="str">
        <x:v>0</x:v>
      </x:c>
      <x:c r="F234" s="125" t="str">
        <x:v>0.0000000000000000</x:v>
      </x:c>
      <x:c r="G234" s="125" t="n">
        <x:v>0</x:v>
      </x:c>
      <x:c r="H234" s="108" t="str">
        <x:v>PASS</x:v>
      </x:c>
    </x:row>
    <x:row r="235">
      <x:c r="A235" s="108" t="n">
        <x:v>7</x:v>
      </x:c>
      <x:c r="B235" s="108" t="n">
        <x:v>1</x:v>
      </x:c>
      <x:c r="C235" s="108" t="n">
        <x:v>1</x:v>
      </x:c>
      <x:c r="D235" s="108" t="str">
        <x:v>start</x:v>
      </x:c>
      <x:c r="E235" s="125" t="str">
        <x:v>0</x:v>
      </x:c>
      <x:c r="F235" s="125" t="str">
        <x:v>0.0000000000000000</x:v>
      </x:c>
      <x:c r="G235" s="125" t="n">
        <x:v>0</x:v>
      </x:c>
      <x:c r="H235" s="108" t="str">
        <x:v>PASS</x:v>
      </x:c>
    </x:row>
    <x:row r="236">
      <x:c r="A236" s="108" t="n">
        <x:v>7</x:v>
      </x:c>
      <x:c r="B236" s="108" t="n">
        <x:v>1</x:v>
      </x:c>
      <x:c r="C236" s="108" t="n">
        <x:v>1</x:v>
      </x:c>
      <x:c r="D236" s="108" t="str">
        <x:v>recoveryDuration</x:v>
      </x:c>
      <x:c r="E236" s="125" t="str">
        <x:v>0</x:v>
      </x:c>
      <x:c r="F236" s="125" t="str">
        <x:v>0.0000000000000000</x:v>
      </x:c>
      <x:c r="G236" s="125" t="n">
        <x:v>0</x:v>
      </x:c>
      <x:c r="H236" s="108" t="str">
        <x:v>PASS</x:v>
      </x:c>
    </x:row>
    <x:row r="237">
      <x:c r="A237" s="108" t="n">
        <x:v>7</x:v>
      </x:c>
      <x:c r="B237" s="108" t="n">
        <x:v>1</x:v>
      </x:c>
      <x:c r="C237" s="108" t="n">
        <x:v>1</x:v>
      </x:c>
      <x:c r="D237" s="108" t="str">
        <x:v>fatigueBeforeRecovery</x:v>
      </x:c>
      <x:c r="E237" s="125" t="str">
        <x:v>0</x:v>
      </x:c>
      <x:c r="F237" s="125" t="str">
        <x:v>0.0000000000000000</x:v>
      </x:c>
      <x:c r="G237" s="125" t="n">
        <x:v>0</x:v>
      </x:c>
      <x:c r="H237" s="108" t="str">
        <x:v>PASS</x:v>
      </x:c>
    </x:row>
    <x:row r="238">
      <x:c r="A238" s="108" t="n">
        <x:v>7</x:v>
      </x:c>
      <x:c r="B238" s="108" t="n">
        <x:v>1</x:v>
      </x:c>
      <x:c r="C238" s="108" t="n">
        <x:v>1</x:v>
      </x:c>
      <x:c r="D238" s="108" t="str">
        <x:v>fatigueAtStart</x:v>
      </x:c>
      <x:c r="E238" s="125" t="str">
        <x:v>0</x:v>
      </x:c>
      <x:c r="F238" s="125" t="str">
        <x:v>0.0000000000000000</x:v>
      </x:c>
      <x:c r="G238" s="125" t="n">
        <x:v>0</x:v>
      </x:c>
      <x:c r="H238" s="108" t="str">
        <x:v>PASS</x:v>
      </x:c>
    </x:row>
    <x:row r="239">
      <x:c r="A239" s="108" t="n">
        <x:v>7</x:v>
      </x:c>
      <x:c r="B239" s="108" t="n">
        <x:v>1</x:v>
      </x:c>
      <x:c r="C239" s="108" t="n">
        <x:v>1</x:v>
      </x:c>
      <x:c r="D239" s="108" t="str">
        <x:v>ST</x:v>
      </x:c>
      <x:c r="E239" s="125" t="str">
        <x:v>10</x:v>
      </x:c>
      <x:c r="F239" s="125" t="str">
        <x:v>10</x:v>
      </x:c>
      <x:c r="G239" s="125" t="n">
        <x:v>0</x:v>
      </x:c>
      <x:c r="H239" s="108" t="str">
        <x:v>PASS</x:v>
      </x:c>
    </x:row>
    <x:row r="240">
      <x:c r="A240" s="108" t="n">
        <x:v>7</x:v>
      </x:c>
      <x:c r="B240" s="108" t="n">
        <x:v>1</x:v>
      </x:c>
      <x:c r="C240" s="108" t="n">
        <x:v>1</x:v>
      </x:c>
      <x:c r="D240" s="108" t="str">
        <x:v>SUT</x:v>
      </x:c>
      <x:c r="E240" s="125" t="str">
        <x:v>2</x:v>
      </x:c>
      <x:c r="F240" s="125" t="str">
        <x:v>2</x:v>
      </x:c>
      <x:c r="G240" s="125" t="n">
        <x:v>0</x:v>
      </x:c>
      <x:c r="H240" s="108" t="str">
        <x:v>PASS</x:v>
      </x:c>
    </x:row>
    <x:row r="241">
      <x:c r="A241" s="108" t="n">
        <x:v>7</x:v>
      </x:c>
      <x:c r="B241" s="108" t="n">
        <x:v>1</x:v>
      </x:c>
      <x:c r="C241" s="108" t="n">
        <x:v>1</x:v>
      </x:c>
      <x:c r="D241" s="108" t="str">
        <x:v>machineSpeed</x:v>
      </x:c>
      <x:c r="E241" s="125" t="str">
        <x:v>1</x:v>
      </x:c>
      <x:c r="F241" s="125" t="str">
        <x:v>1.0000000000000000</x:v>
      </x:c>
      <x:c r="G241" s="125" t="n">
        <x:v>0</x:v>
      </x:c>
      <x:c r="H241" s="108" t="str">
        <x:v>PASS</x:v>
      </x:c>
    </x:row>
    <x:row r="242">
      <x:c r="A242" s="108" t="n">
        <x:v>7</x:v>
      </x:c>
      <x:c r="B242" s="108" t="n">
        <x:v>1</x:v>
      </x:c>
      <x:c r="C242" s="108" t="n">
        <x:v>1</x:v>
      </x:c>
      <x:c r="D242" s="108" t="str">
        <x:v>machinePower</x:v>
      </x:c>
      <x:c r="E242" s="125" t="str">
        <x:v>6</x:v>
      </x:c>
      <x:c r="F242" s="125" t="str">
        <x:v>6</x:v>
      </x:c>
      <x:c r="G242" s="125" t="n">
        <x:v>0</x:v>
      </x:c>
      <x:c r="H242" s="108" t="str">
        <x:v>PASS</x:v>
      </x:c>
    </x:row>
    <x:row r="243">
      <x:c r="A243" s="108" t="n">
        <x:v>7</x:v>
      </x:c>
      <x:c r="B243" s="108" t="n">
        <x:v>1</x:v>
      </x:c>
      <x:c r="C243" s="108" t="n">
        <x:v>1</x:v>
      </x:c>
      <x:c r="D243" s="108" t="str">
        <x:v>workerEfficiency</x:v>
      </x:c>
      <x:c r="E243" s="125" t="str">
        <x:v>1</x:v>
      </x:c>
      <x:c r="F243" s="125" t="str">
        <x:v>1.0000000000000000</x:v>
      </x:c>
      <x:c r="G243" s="125" t="n">
        <x:v>0</x:v>
      </x:c>
      <x:c r="H243" s="108" t="str">
        <x:v>PASS</x:v>
      </x:c>
    </x:row>
    <x:row r="244">
      <x:c r="A244" s="108" t="n">
        <x:v>7</x:v>
      </x:c>
      <x:c r="B244" s="108" t="n">
        <x:v>1</x:v>
      </x:c>
      <x:c r="C244" s="108" t="n">
        <x:v>1</x:v>
      </x:c>
      <x:c r="D244" s="108" t="str">
        <x:v>workerCost</x:v>
      </x:c>
      <x:c r="E244" s="125" t="str">
        <x:v>10</x:v>
      </x:c>
      <x:c r="F244" s="125" t="str">
        <x:v>10</x:v>
      </x:c>
      <x:c r="G244" s="125" t="n">
        <x:v>0</x:v>
      </x:c>
      <x:c r="H244" s="108" t="str">
        <x:v>PASS</x:v>
      </x:c>
    </x:row>
    <x:row r="245">
      <x:c r="A245" s="108" t="n">
        <x:v>7</x:v>
      </x:c>
      <x:c r="B245" s="108" t="n">
        <x:v>1</x:v>
      </x:c>
      <x:c r="C245" s="108" t="n">
        <x:v>1</x:v>
      </x:c>
      <x:c r="D245" s="108" t="str">
        <x:v>lambda</x:v>
      </x:c>
      <x:c r="E245" s="125" t="str">
        <x:v>0.021000000000000001</x:v>
      </x:c>
      <x:c r="F245" s="125" t="str">
        <x:v>0.021000000000000000</x:v>
      </x:c>
      <x:c r="G245" s="125" t="n">
        <x:v>0</x:v>
      </x:c>
      <x:c r="H245" s="108" t="str">
        <x:v>PASS</x:v>
      </x:c>
    </x:row>
    <x:row r="246">
      <x:c r="A246" s="108" t="n">
        <x:v>7</x:v>
      </x:c>
      <x:c r="B246" s="108" t="n">
        <x:v>1</x:v>
      </x:c>
      <x:c r="C246" s="108" t="n">
        <x:v>1</x:v>
      </x:c>
      <x:c r="D246" s="108" t="str">
        <x:v>muCurrentStage</x:v>
      </x:c>
      <x:c r="E246" s="125" t="str">
        <x:v>0.050000000000000003</x:v>
      </x:c>
      <x:c r="F246" s="125" t="str">
        <x:v>0.050000000000000000</x:v>
      </x:c>
      <x:c r="G246" s="125" t="n">
        <x:v>0</x:v>
      </x:c>
      <x:c r="H246" s="108" t="str">
        <x:v>PASS</x:v>
      </x:c>
    </x:row>
    <x:row r="247">
      <x:c r="A247" s="108" t="n">
        <x:v>7</x:v>
      </x:c>
      <x:c r="B247" s="108" t="n">
        <x:v>1</x:v>
      </x:c>
      <x:c r="C247" s="108" t="n">
        <x:v>1</x:v>
      </x:c>
      <x:c r="D247" s="108" t="str">
        <x:v>recoveryMu</x:v>
      </x:c>
      <x:c r="E247" s="125" t="str">
        <x:v>0.050000000000000003</x:v>
      </x:c>
      <x:c r="F247" s="125" t="str">
        <x:v>0.050000000000000000</x:v>
      </x:c>
      <x:c r="G247" s="125" t="n">
        <x:v>0</x:v>
      </x:c>
      <x:c r="H247" s="108" t="str">
        <x:v>PASS</x:v>
      </x:c>
    </x:row>
    <x:row r="248">
      <x:c r="A248" s="108" t="n">
        <x:v>7</x:v>
      </x:c>
      <x:c r="B248" s="108" t="n">
        <x:v>1</x:v>
      </x:c>
      <x:c r="C248" s="108" t="n">
        <x:v>1</x:v>
      </x:c>
      <x:c r="D248" s="108" t="str">
        <x:v>r</x:v>
      </x:c>
      <x:c r="E248" s="125" t="str">
        <x:v>0.29999999999999999</x:v>
      </x:c>
      <x:c r="F248" s="125" t="str">
        <x:v>0.30000000000000000</x:v>
      </x:c>
      <x:c r="G248" s="125" t="n">
        <x:v>0</x:v>
      </x:c>
      <x:c r="H248" s="108" t="str">
        <x:v>PASS</x:v>
      </x:c>
    </x:row>
    <x:row r="249">
      <x:c r="A249" s="108" t="n">
        <x:v>7</x:v>
      </x:c>
      <x:c r="B249" s="108" t="n">
        <x:v>1</x:v>
      </x:c>
      <x:c r="C249" s="108" t="n">
        <x:v>1</x:v>
      </x:c>
      <x:c r="D249" s="108" t="str">
        <x:v>delta</x:v>
      </x:c>
      <x:c r="E249" s="125" t="str">
        <x:v>20.609929155556618</x:v>
      </x:c>
      <x:c r="F249" s="125" t="str">
        <x:v>20.609929155556618</x:v>
      </x:c>
      <x:c r="G249" s="125" t="n">
        <x:v>0</x:v>
      </x:c>
      <x:c r="H249" s="108" t="str">
        <x:v>PASS</x:v>
      </x:c>
    </x:row>
    <x:row r="250">
      <x:c r="A250" s="108" t="n">
        <x:v>7</x:v>
      </x:c>
      <x:c r="B250" s="108" t="n">
        <x:v>1</x:v>
      </x:c>
      <x:c r="C250" s="108" t="n">
        <x:v>1</x:v>
      </x:c>
      <x:c r="D250" s="108" t="str">
        <x:v>baseProcessing</x:v>
      </x:c>
      <x:c r="E250" s="125" t="str">
        <x:v>10</x:v>
      </x:c>
      <x:c r="F250" s="125" t="str">
        <x:v>10.000000000000000</x:v>
      </x:c>
      <x:c r="G250" s="125" t="n">
        <x:v>0</x:v>
      </x:c>
      <x:c r="H250" s="108" t="str">
        <x:v>PASS</x:v>
      </x:c>
    </x:row>
    <x:row r="251">
      <x:c r="A251" s="108" t="n">
        <x:v>7</x:v>
      </x:c>
      <x:c r="B251" s="108" t="n">
        <x:v>1</x:v>
      </x:c>
      <x:c r="C251" s="108" t="n">
        <x:v>1</x:v>
      </x:c>
      <x:c r="D251" s="108" t="str">
        <x:v>baseSetup</x:v>
      </x:c>
      <x:c r="E251" s="125" t="str">
        <x:v>2</x:v>
      </x:c>
      <x:c r="F251" s="125" t="str">
        <x:v>2.0000000000000000</x:v>
      </x:c>
      <x:c r="G251" s="125" t="n">
        <x:v>0</x:v>
      </x:c>
      <x:c r="H251" s="108" t="str">
        <x:v>PASS</x:v>
      </x:c>
    </x:row>
    <x:row r="252">
      <x:c r="A252" s="108" t="n">
        <x:v>7</x:v>
      </x:c>
      <x:c r="B252" s="108" t="n">
        <x:v>1</x:v>
      </x:c>
      <x:c r="C252" s="108" t="n">
        <x:v>1</x:v>
      </x:c>
      <x:c r="D252" s="108" t="str">
        <x:v>baseAT</x:v>
      </x:c>
      <x:c r="E252" s="125" t="str">
        <x:v>12</x:v>
      </x:c>
      <x:c r="F252" s="125" t="str">
        <x:v>12.000000000000000</x:v>
      </x:c>
      <x:c r="G252" s="125" t="n">
        <x:v>0</x:v>
      </x:c>
      <x:c r="H252" s="108" t="str">
        <x:v>PASS</x:v>
      </x:c>
    </x:row>
    <x:row r="253">
      <x:c r="A253" s="108" t="n">
        <x:v>7</x:v>
      </x:c>
      <x:c r="B253" s="108" t="n">
        <x:v>1</x:v>
      </x:c>
      <x:c r="C253" s="108" t="n">
        <x:v>1</x:v>
      </x:c>
      <x:c r="D253" s="108" t="str">
        <x:v>fatigueMultiplier</x:v>
      </x:c>
      <x:c r="E253" s="125" t="str">
        <x:v>1</x:v>
      </x:c>
      <x:c r="F253" s="125" t="str">
        <x:v>1.0000000000000000</x:v>
      </x:c>
      <x:c r="G253" s="125" t="n">
        <x:v>0</x:v>
      </x:c>
      <x:c r="H253" s="108" t="str">
        <x:v>PASS</x:v>
      </x:c>
    </x:row>
    <x:row r="254">
      <x:c r="A254" s="108" t="n">
        <x:v>7</x:v>
      </x:c>
      <x:c r="B254" s="108" t="n">
        <x:v>1</x:v>
      </x:c>
      <x:c r="C254" s="108" t="n">
        <x:v>1</x:v>
      </x:c>
      <x:c r="D254" s="108" t="str">
        <x:v>actualProcessing</x:v>
      </x:c>
      <x:c r="E254" s="125" t="str">
        <x:v>10</x:v>
      </x:c>
      <x:c r="F254" s="125" t="str">
        <x:v>10.000000000000000</x:v>
      </x:c>
      <x:c r="G254" s="125" t="n">
        <x:v>0</x:v>
      </x:c>
      <x:c r="H254" s="108" t="str">
        <x:v>PASS</x:v>
      </x:c>
    </x:row>
    <x:row r="255">
      <x:c r="A255" s="108" t="n">
        <x:v>7</x:v>
      </x:c>
      <x:c r="B255" s="108" t="n">
        <x:v>1</x:v>
      </x:c>
      <x:c r="C255" s="108" t="n">
        <x:v>1</x:v>
      </x:c>
      <x:c r="D255" s="108" t="str">
        <x:v>actualSetup</x:v>
      </x:c>
      <x:c r="E255" s="125" t="str">
        <x:v>2</x:v>
      </x:c>
      <x:c r="F255" s="125" t="str">
        <x:v>2.0000000000000000</x:v>
      </x:c>
      <x:c r="G255" s="125" t="n">
        <x:v>0</x:v>
      </x:c>
      <x:c r="H255" s="108" t="str">
        <x:v>PASS</x:v>
      </x:c>
    </x:row>
    <x:row r="256">
      <x:c r="A256" s="108" t="n">
        <x:v>7</x:v>
      </x:c>
      <x:c r="B256" s="108" t="n">
        <x:v>1</x:v>
      </x:c>
      <x:c r="C256" s="108" t="n">
        <x:v>1</x:v>
      </x:c>
      <x:c r="D256" s="108" t="str">
        <x:v>actualAT</x:v>
      </x:c>
      <x:c r="E256" s="125" t="str">
        <x:v>12</x:v>
      </x:c>
      <x:c r="F256" s="125" t="str">
        <x:v>12.000000000000000</x:v>
      </x:c>
      <x:c r="G256" s="125" t="n">
        <x:v>0</x:v>
      </x:c>
      <x:c r="H256" s="108" t="str">
        <x:v>PASS</x:v>
      </x:c>
    </x:row>
    <x:row r="257">
      <x:c r="A257" s="108" t="n">
        <x:v>7</x:v>
      </x:c>
      <x:c r="B257" s="108" t="n">
        <x:v>1</x:v>
      </x:c>
      <x:c r="C257" s="108" t="n">
        <x:v>1</x:v>
      </x:c>
      <x:c r="D257" s="108" t="str">
        <x:v>end</x:v>
      </x:c>
      <x:c r="E257" s="125" t="str">
        <x:v>12</x:v>
      </x:c>
      <x:c r="F257" s="125" t="str">
        <x:v>12.000000000000000</x:v>
      </x:c>
      <x:c r="G257" s="125" t="n">
        <x:v>0</x:v>
      </x:c>
      <x:c r="H257" s="108" t="str">
        <x:v>PASS</x:v>
      </x:c>
    </x:row>
    <x:row r="258">
      <x:c r="A258" s="108" t="n">
        <x:v>7</x:v>
      </x:c>
      <x:c r="B258" s="108" t="n">
        <x:v>1</x:v>
      </x:c>
      <x:c r="C258" s="108" t="n">
        <x:v>1</x:v>
      </x:c>
      <x:c r="D258" s="108" t="str">
        <x:v>fatigueAfter</x:v>
      </x:c>
      <x:c r="E258" s="125" t="str">
        <x:v>0.22275526193105386</x:v>
      </x:c>
      <x:c r="F258" s="125" t="str">
        <x:v>0.22275526193105386</x:v>
      </x:c>
      <x:c r="G258" s="125" t="n">
        <x:v>0</x:v>
      </x:c>
      <x:c r="H258" s="108" t="str">
        <x:v>PASS</x:v>
      </x:c>
    </x:row>
    <x:row r="259">
      <x:c r="A259" s="108" t="n">
        <x:v>7</x:v>
      </x:c>
      <x:c r="B259" s="108" t="n">
        <x:v>1</x:v>
      </x:c>
      <x:c r="C259" s="108" t="n">
        <x:v>1</x:v>
      </x:c>
      <x:c r="D259" s="108" t="str">
        <x:v>machineIdle</x:v>
      </x:c>
      <x:c r="E259" s="125" t="str">
        <x:v>0</x:v>
      </x:c>
      <x:c r="F259" s="125" t="str">
        <x:v>0.0000000000000000</x:v>
      </x:c>
      <x:c r="G259" s="125" t="n">
        <x:v>0</x:v>
      </x:c>
      <x:c r="H259" s="108" t="str">
        <x:v>PASS</x:v>
      </x:c>
    </x:row>
    <x:row r="260">
      <x:c r="A260" s="108" t="n">
        <x:v>7</x:v>
      </x:c>
      <x:c r="B260" s="108" t="n">
        <x:v>1</x:v>
      </x:c>
      <x:c r="C260" s="108" t="n">
        <x:v>1</x:v>
      </x:c>
      <x:c r="D260" s="108" t="str">
        <x:v>energy</x:v>
      </x:c>
      <x:c r="E260" s="125" t="str">
        <x:v>72</x:v>
      </x:c>
      <x:c r="F260" s="125" t="str">
        <x:v>72.000000000000000</x:v>
      </x:c>
      <x:c r="G260" s="125" t="n">
        <x:v>0</x:v>
      </x:c>
      <x:c r="H260" s="108" t="str">
        <x:v>PASS</x:v>
      </x:c>
    </x:row>
    <x:row r="261">
      <x:c r="A261" s="108" t="n">
        <x:v>7</x:v>
      </x:c>
      <x:c r="B261" s="108" t="n">
        <x:v>1</x:v>
      </x:c>
      <x:c r="C261" s="108" t="n">
        <x:v>1</x:v>
      </x:c>
      <x:c r="D261" s="108" t="str">
        <x:v>cost</x:v>
      </x:c>
      <x:c r="E261" s="125" t="str">
        <x:v>120</x:v>
      </x:c>
      <x:c r="F261" s="125" t="str">
        <x:v>120.00000000000000</x:v>
      </x:c>
      <x:c r="G261" s="125" t="n">
        <x:v>0</x:v>
      </x:c>
      <x:c r="H261" s="108" t="str">
        <x:v>PASS</x:v>
      </x:c>
    </x:row>
    <x:row r="262">
      <x:c r="A262" s="108" t="n">
        <x:v>7</x:v>
      </x:c>
      <x:c r="B262" s="108" t="n">
        <x:v>1</x:v>
      </x:c>
      <x:c r="C262" s="108" t="n">
        <x:v>1</x:v>
      </x:c>
      <x:c r="D262" s="108" t="str">
        <x:v>safeThresholdExceeded</x:v>
      </x:c>
      <x:c r="E262" s="125" t="str">
        <x:v>false</x:v>
      </x:c>
      <x:c r="F262" s="125" t="str">
        <x:v>false</x:v>
      </x:c>
      <x:c r="G262" s="125" t="str"/>
      <x:c r="H262" s="108" t="str">
        <x:v>PASS</x:v>
      </x:c>
    </x:row>
    <x:row r="263">
      <x:c r="A263" s="108" t="n">
        <x:v>8</x:v>
      </x:c>
      <x:c r="B263" s="108" t="n">
        <x:v>2</x:v>
      </x:c>
      <x:c r="C263" s="108" t="n">
        <x:v>1</x:v>
      </x:c>
      <x:c r="D263" s="108" t="str">
        <x:v>sequence</x:v>
      </x:c>
      <x:c r="E263" s="125" t="str">
        <x:v>8</x:v>
      </x:c>
      <x:c r="F263" s="125" t="str">
        <x:v>8</x:v>
      </x:c>
      <x:c r="G263" s="125" t="n">
        <x:v>0</x:v>
      </x:c>
      <x:c r="H263" s="108" t="str">
        <x:v>PASS</x:v>
      </x:c>
    </x:row>
    <x:row r="264">
      <x:c r="A264" s="108" t="n">
        <x:v>8</x:v>
      </x:c>
      <x:c r="B264" s="108" t="n">
        <x:v>2</x:v>
      </x:c>
      <x:c r="C264" s="108" t="n">
        <x:v>1</x:v>
      </x:c>
      <x:c r="D264" s="108" t="str">
        <x:v>job</x:v>
      </x:c>
      <x:c r="E264" s="125" t="str">
        <x:v>2</x:v>
      </x:c>
      <x:c r="F264" s="125" t="str">
        <x:v>2</x:v>
      </x:c>
      <x:c r="G264" s="125" t="n">
        <x:v>0</x:v>
      </x:c>
      <x:c r="H264" s="108" t="str">
        <x:v>PASS</x:v>
      </x:c>
    </x:row>
    <x:row r="265">
      <x:c r="A265" s="108" t="n">
        <x:v>8</x:v>
      </x:c>
      <x:c r="B265" s="108" t="n">
        <x:v>2</x:v>
      </x:c>
      <x:c r="C265" s="108" t="n">
        <x:v>1</x:v>
      </x:c>
      <x:c r="D265" s="108" t="str">
        <x:v>stage</x:v>
      </x:c>
      <x:c r="E265" s="125" t="str">
        <x:v>1</x:v>
      </x:c>
      <x:c r="F265" s="125" t="str">
        <x:v>1</x:v>
      </x:c>
      <x:c r="G265" s="125" t="n">
        <x:v>0</x:v>
      </x:c>
      <x:c r="H265" s="108" t="str">
        <x:v>PASS</x:v>
      </x:c>
    </x:row>
    <x:row r="266">
      <x:c r="A266" s="108" t="n">
        <x:v>8</x:v>
      </x:c>
      <x:c r="B266" s="108" t="n">
        <x:v>2</x:v>
      </x:c>
      <x:c r="C266" s="108" t="n">
        <x:v>1</x:v>
      </x:c>
      <x:c r="D266" s="108" t="str">
        <x:v>factory</x:v>
      </x:c>
      <x:c r="E266" s="125" t="str">
        <x:v>2</x:v>
      </x:c>
      <x:c r="F266" s="125" t="str">
        <x:v>2</x:v>
      </x:c>
      <x:c r="G266" s="125" t="n">
        <x:v>0</x:v>
      </x:c>
      <x:c r="H266" s="108" t="str">
        <x:v>PASS</x:v>
      </x:c>
    </x:row>
    <x:row r="267">
      <x:c r="A267" s="108" t="n">
        <x:v>8</x:v>
      </x:c>
      <x:c r="B267" s="108" t="n">
        <x:v>2</x:v>
      </x:c>
      <x:c r="C267" s="108" t="n">
        <x:v>1</x:v>
      </x:c>
      <x:c r="D267" s="108" t="str">
        <x:v>machine</x:v>
      </x:c>
      <x:c r="E267" s="125" t="str">
        <x:v>1</x:v>
      </x:c>
      <x:c r="F267" s="125" t="str">
        <x:v>1</x:v>
      </x:c>
      <x:c r="G267" s="125" t="n">
        <x:v>0</x:v>
      </x:c>
      <x:c r="H267" s="108" t="str">
        <x:v>PASS</x:v>
      </x:c>
    </x:row>
    <x:row r="268">
      <x:c r="A268" s="108" t="n">
        <x:v>8</x:v>
      </x:c>
      <x:c r="B268" s="108" t="n">
        <x:v>2</x:v>
      </x:c>
      <x:c r="C268" s="108" t="n">
        <x:v>1</x:v>
      </x:c>
      <x:c r="D268" s="108" t="str">
        <x:v>worker</x:v>
      </x:c>
      <x:c r="E268" s="125" t="str">
        <x:v>1</x:v>
      </x:c>
      <x:c r="F268" s="125" t="str">
        <x:v>1</x:v>
      </x:c>
      <x:c r="G268" s="125" t="n">
        <x:v>0</x:v>
      </x:c>
      <x:c r="H268" s="108" t="str">
        <x:v>PASS</x:v>
      </x:c>
    </x:row>
    <x:row r="269">
      <x:c r="A269" s="108" t="n">
        <x:v>8</x:v>
      </x:c>
      <x:c r="B269" s="108" t="n">
        <x:v>2</x:v>
      </x:c>
      <x:c r="C269" s="108" t="n">
        <x:v>1</x:v>
      </x:c>
      <x:c r="D269" s="108" t="str">
        <x:v>predecessorCompletion</x:v>
      </x:c>
      <x:c r="E269" s="125" t="str">
        <x:v>0</x:v>
      </x:c>
      <x:c r="F269" s="125" t="str">
        <x:v>0.0000000000000000</x:v>
      </x:c>
      <x:c r="G269" s="125" t="n">
        <x:v>0</x:v>
      </x:c>
      <x:c r="H269" s="108" t="str">
        <x:v>PASS</x:v>
      </x:c>
    </x:row>
    <x:row r="270">
      <x:c r="A270" s="108" t="n">
        <x:v>8</x:v>
      </x:c>
      <x:c r="B270" s="108" t="n">
        <x:v>2</x:v>
      </x:c>
      <x:c r="C270" s="108" t="n">
        <x:v>1</x:v>
      </x:c>
      <x:c r="D270" s="108" t="str">
        <x:v>machineAvailableBefore</x:v>
      </x:c>
      <x:c r="E270" s="125" t="str">
        <x:v>12</x:v>
      </x:c>
      <x:c r="F270" s="125" t="str">
        <x:v>12.000000000000000</x:v>
      </x:c>
      <x:c r="G270" s="125" t="n">
        <x:v>0</x:v>
      </x:c>
      <x:c r="H270" s="108" t="str">
        <x:v>PASS</x:v>
      </x:c>
    </x:row>
    <x:row r="271">
      <x:c r="A271" s="108" t="n">
        <x:v>8</x:v>
      </x:c>
      <x:c r="B271" s="108" t="n">
        <x:v>2</x:v>
      </x:c>
      <x:c r="C271" s="108" t="n">
        <x:v>1</x:v>
      </x:c>
      <x:c r="D271" s="108" t="str">
        <x:v>workerAvailableBefore</x:v>
      </x:c>
      <x:c r="E271" s="125" t="str">
        <x:v>12</x:v>
      </x:c>
      <x:c r="F271" s="125" t="str">
        <x:v>12.000000000000000</x:v>
      </x:c>
      <x:c r="G271" s="125" t="n">
        <x:v>0</x:v>
      </x:c>
      <x:c r="H271" s="108" t="str">
        <x:v>PASS</x:v>
      </x:c>
    </x:row>
    <x:row r="272">
      <x:c r="A272" s="108" t="n">
        <x:v>8</x:v>
      </x:c>
      <x:c r="B272" s="108" t="n">
        <x:v>2</x:v>
      </x:c>
      <x:c r="C272" s="108" t="n">
        <x:v>1</x:v>
      </x:c>
      <x:c r="D272" s="108" t="str">
        <x:v>start</x:v>
      </x:c>
      <x:c r="E272" s="125" t="str">
        <x:v>12</x:v>
      </x:c>
      <x:c r="F272" s="125" t="str">
        <x:v>12.000000000000000</x:v>
      </x:c>
      <x:c r="G272" s="125" t="n">
        <x:v>0</x:v>
      </x:c>
      <x:c r="H272" s="108" t="str">
        <x:v>PASS</x:v>
      </x:c>
    </x:row>
    <x:row r="273">
      <x:c r="A273" s="108" t="n">
        <x:v>8</x:v>
      </x:c>
      <x:c r="B273" s="108" t="n">
        <x:v>2</x:v>
      </x:c>
      <x:c r="C273" s="108" t="n">
        <x:v>1</x:v>
      </x:c>
      <x:c r="D273" s="108" t="str">
        <x:v>recoveryDuration</x:v>
      </x:c>
      <x:c r="E273" s="125" t="str">
        <x:v>0</x:v>
      </x:c>
      <x:c r="F273" s="125" t="str">
        <x:v>0.0000000000000000</x:v>
      </x:c>
      <x:c r="G273" s="125" t="n">
        <x:v>0</x:v>
      </x:c>
      <x:c r="H273" s="108" t="str">
        <x:v>PASS</x:v>
      </x:c>
    </x:row>
    <x:row r="274">
      <x:c r="A274" s="108" t="n">
        <x:v>8</x:v>
      </x:c>
      <x:c r="B274" s="108" t="n">
        <x:v>2</x:v>
      </x:c>
      <x:c r="C274" s="108" t="n">
        <x:v>1</x:v>
      </x:c>
      <x:c r="D274" s="108" t="str">
        <x:v>fatigueBeforeRecovery</x:v>
      </x:c>
      <x:c r="E274" s="125" t="str">
        <x:v>0.22275526193105386</x:v>
      </x:c>
      <x:c r="F274" s="125" t="str">
        <x:v>0.22275526193105386</x:v>
      </x:c>
      <x:c r="G274" s="125" t="n">
        <x:v>0</x:v>
      </x:c>
      <x:c r="H274" s="108" t="str">
        <x:v>PASS</x:v>
      </x:c>
    </x:row>
    <x:row r="275">
      <x:c r="A275" s="108" t="n">
        <x:v>8</x:v>
      </x:c>
      <x:c r="B275" s="108" t="n">
        <x:v>2</x:v>
      </x:c>
      <x:c r="C275" s="108" t="n">
        <x:v>1</x:v>
      </x:c>
      <x:c r="D275" s="108" t="str">
        <x:v>fatigueAtStart</x:v>
      </x:c>
      <x:c r="E275" s="125" t="str">
        <x:v>0.22275526193105386</x:v>
      </x:c>
      <x:c r="F275" s="125" t="str">
        <x:v>0.22275526193105386</x:v>
      </x:c>
      <x:c r="G275" s="125" t="n">
        <x:v>0</x:v>
      </x:c>
      <x:c r="H275" s="108" t="str">
        <x:v>PASS</x:v>
      </x:c>
    </x:row>
    <x:row r="276">
      <x:c r="A276" s="108" t="n">
        <x:v>8</x:v>
      </x:c>
      <x:c r="B276" s="108" t="n">
        <x:v>2</x:v>
      </x:c>
      <x:c r="C276" s="108" t="n">
        <x:v>1</x:v>
      </x:c>
      <x:c r="D276" s="108" t="str">
        <x:v>ST</x:v>
      </x:c>
      <x:c r="E276" s="125" t="str">
        <x:v>6</x:v>
      </x:c>
      <x:c r="F276" s="125" t="str">
        <x:v>6</x:v>
      </x:c>
      <x:c r="G276" s="125" t="n">
        <x:v>0</x:v>
      </x:c>
      <x:c r="H276" s="108" t="str">
        <x:v>PASS</x:v>
      </x:c>
    </x:row>
    <x:row r="277">
      <x:c r="A277" s="108" t="n">
        <x:v>8</x:v>
      </x:c>
      <x:c r="B277" s="108" t="n">
        <x:v>2</x:v>
      </x:c>
      <x:c r="C277" s="108" t="n">
        <x:v>1</x:v>
      </x:c>
      <x:c r="D277" s="108" t="str">
        <x:v>SUT</x:v>
      </x:c>
      <x:c r="E277" s="125" t="str">
        <x:v>1</x:v>
      </x:c>
      <x:c r="F277" s="125" t="str">
        <x:v>1</x:v>
      </x:c>
      <x:c r="G277" s="125" t="n">
        <x:v>0</x:v>
      </x:c>
      <x:c r="H277" s="108" t="str">
        <x:v>PASS</x:v>
      </x:c>
    </x:row>
    <x:row r="278">
      <x:c r="A278" s="108" t="n">
        <x:v>8</x:v>
      </x:c>
      <x:c r="B278" s="108" t="n">
        <x:v>2</x:v>
      </x:c>
      <x:c r="C278" s="108" t="n">
        <x:v>1</x:v>
      </x:c>
      <x:c r="D278" s="108" t="str">
        <x:v>machineSpeed</x:v>
      </x:c>
      <x:c r="E278" s="125" t="str">
        <x:v>1</x:v>
      </x:c>
      <x:c r="F278" s="125" t="str">
        <x:v>1.0000000000000000</x:v>
      </x:c>
      <x:c r="G278" s="125" t="n">
        <x:v>0</x:v>
      </x:c>
      <x:c r="H278" s="108" t="str">
        <x:v>PASS</x:v>
      </x:c>
    </x:row>
    <x:row r="279">
      <x:c r="A279" s="108" t="n">
        <x:v>8</x:v>
      </x:c>
      <x:c r="B279" s="108" t="n">
        <x:v>2</x:v>
      </x:c>
      <x:c r="C279" s="108" t="n">
        <x:v>1</x:v>
      </x:c>
      <x:c r="D279" s="108" t="str">
        <x:v>machinePower</x:v>
      </x:c>
      <x:c r="E279" s="125" t="str">
        <x:v>6</x:v>
      </x:c>
      <x:c r="F279" s="125" t="str">
        <x:v>6</x:v>
      </x:c>
      <x:c r="G279" s="125" t="n">
        <x:v>0</x:v>
      </x:c>
      <x:c r="H279" s="108" t="str">
        <x:v>PASS</x:v>
      </x:c>
    </x:row>
    <x:row r="280">
      <x:c r="A280" s="108" t="n">
        <x:v>8</x:v>
      </x:c>
      <x:c r="B280" s="108" t="n">
        <x:v>2</x:v>
      </x:c>
      <x:c r="C280" s="108" t="n">
        <x:v>1</x:v>
      </x:c>
      <x:c r="D280" s="108" t="str">
        <x:v>workerEfficiency</x:v>
      </x:c>
      <x:c r="E280" s="125" t="str">
        <x:v>1</x:v>
      </x:c>
      <x:c r="F280" s="125" t="str">
        <x:v>1.0000000000000000</x:v>
      </x:c>
      <x:c r="G280" s="125" t="n">
        <x:v>0</x:v>
      </x:c>
      <x:c r="H280" s="108" t="str">
        <x:v>PASS</x:v>
      </x:c>
    </x:row>
    <x:row r="281">
      <x:c r="A281" s="108" t="n">
        <x:v>8</x:v>
      </x:c>
      <x:c r="B281" s="108" t="n">
        <x:v>2</x:v>
      </x:c>
      <x:c r="C281" s="108" t="n">
        <x:v>1</x:v>
      </x:c>
      <x:c r="D281" s="108" t="str">
        <x:v>workerCost</x:v>
      </x:c>
      <x:c r="E281" s="125" t="str">
        <x:v>10</x:v>
      </x:c>
      <x:c r="F281" s="125" t="str">
        <x:v>10</x:v>
      </x:c>
      <x:c r="G281" s="125" t="n">
        <x:v>0</x:v>
      </x:c>
      <x:c r="H281" s="108" t="str">
        <x:v>PASS</x:v>
      </x:c>
    </x:row>
    <x:row r="282">
      <x:c r="A282" s="108" t="n">
        <x:v>8</x:v>
      </x:c>
      <x:c r="B282" s="108" t="n">
        <x:v>2</x:v>
      </x:c>
      <x:c r="C282" s="108" t="n">
        <x:v>1</x:v>
      </x:c>
      <x:c r="D282" s="108" t="str">
        <x:v>lambda</x:v>
      </x:c>
      <x:c r="E282" s="125" t="str">
        <x:v>0.021000000000000001</x:v>
      </x:c>
      <x:c r="F282" s="125" t="str">
        <x:v>0.021000000000000000</x:v>
      </x:c>
      <x:c r="G282" s="125" t="n">
        <x:v>0</x:v>
      </x:c>
      <x:c r="H282" s="108" t="str">
        <x:v>PASS</x:v>
      </x:c>
    </x:row>
    <x:row r="283">
      <x:c r="A283" s="108" t="n">
        <x:v>8</x:v>
      </x:c>
      <x:c r="B283" s="108" t="n">
        <x:v>2</x:v>
      </x:c>
      <x:c r="C283" s="108" t="n">
        <x:v>1</x:v>
      </x:c>
      <x:c r="D283" s="108" t="str">
        <x:v>muCurrentStage</x:v>
      </x:c>
      <x:c r="E283" s="125" t="str">
        <x:v>0.050000000000000003</x:v>
      </x:c>
      <x:c r="F283" s="125" t="str">
        <x:v>0.050000000000000000</x:v>
      </x:c>
      <x:c r="G283" s="125" t="n">
        <x:v>0</x:v>
      </x:c>
      <x:c r="H283" s="108" t="str">
        <x:v>PASS</x:v>
      </x:c>
    </x:row>
    <x:row r="284">
      <x:c r="A284" s="108" t="n">
        <x:v>8</x:v>
      </x:c>
      <x:c r="B284" s="108" t="n">
        <x:v>2</x:v>
      </x:c>
      <x:c r="C284" s="108" t="n">
        <x:v>1</x:v>
      </x:c>
      <x:c r="D284" s="108" t="str">
        <x:v>recoveryMu</x:v>
      </x:c>
      <x:c r="E284" s="125" t="str">
        <x:v>0.050000000000000003</x:v>
      </x:c>
      <x:c r="F284" s="125" t="str">
        <x:v>0.050000000000000000</x:v>
      </x:c>
      <x:c r="G284" s="125" t="n">
        <x:v>0</x:v>
      </x:c>
      <x:c r="H284" s="108" t="str">
        <x:v>PASS</x:v>
      </x:c>
    </x:row>
    <x:row r="285">
      <x:c r="A285" s="108" t="n">
        <x:v>8</x:v>
      </x:c>
      <x:c r="B285" s="108" t="n">
        <x:v>2</x:v>
      </x:c>
      <x:c r="C285" s="108" t="n">
        <x:v>1</x:v>
      </x:c>
      <x:c r="D285" s="108" t="str">
        <x:v>r</x:v>
      </x:c>
      <x:c r="E285" s="125" t="str">
        <x:v>0.29999999999999999</x:v>
      </x:c>
      <x:c r="F285" s="125" t="str">
        <x:v>0.30000000000000000</x:v>
      </x:c>
      <x:c r="G285" s="125" t="n">
        <x:v>0</x:v>
      </x:c>
      <x:c r="H285" s="108" t="str">
        <x:v>PASS</x:v>
      </x:c>
    </x:row>
    <x:row r="286">
      <x:c r="A286" s="108" t="n">
        <x:v>8</x:v>
      </x:c>
      <x:c r="B286" s="108" t="n">
        <x:v>2</x:v>
      </x:c>
      <x:c r="C286" s="108" t="n">
        <x:v>1</x:v>
      </x:c>
      <x:c r="D286" s="108" t="str">
        <x:v>delta</x:v>
      </x:c>
      <x:c r="E286" s="125" t="str">
        <x:v>20.609929155556618</x:v>
      </x:c>
      <x:c r="F286" s="125" t="str">
        <x:v>20.609929155556618</x:v>
      </x:c>
      <x:c r="G286" s="125" t="n">
        <x:v>0</x:v>
      </x:c>
      <x:c r="H286" s="108" t="str">
        <x:v>PASS</x:v>
      </x:c>
    </x:row>
    <x:row r="287">
      <x:c r="A287" s="108" t="n">
        <x:v>8</x:v>
      </x:c>
      <x:c r="B287" s="108" t="n">
        <x:v>2</x:v>
      </x:c>
      <x:c r="C287" s="108" t="n">
        <x:v>1</x:v>
      </x:c>
      <x:c r="D287" s="108" t="str">
        <x:v>baseProcessing</x:v>
      </x:c>
      <x:c r="E287" s="125" t="str">
        <x:v>6</x:v>
      </x:c>
      <x:c r="F287" s="125" t="str">
        <x:v>6.0000000000000000</x:v>
      </x:c>
      <x:c r="G287" s="125" t="n">
        <x:v>0</x:v>
      </x:c>
      <x:c r="H287" s="108" t="str">
        <x:v>PASS</x:v>
      </x:c>
    </x:row>
    <x:row r="288">
      <x:c r="A288" s="108" t="n">
        <x:v>8</x:v>
      </x:c>
      <x:c r="B288" s="108" t="n">
        <x:v>2</x:v>
      </x:c>
      <x:c r="C288" s="108" t="n">
        <x:v>1</x:v>
      </x:c>
      <x:c r="D288" s="108" t="str">
        <x:v>baseSetup</x:v>
      </x:c>
      <x:c r="E288" s="125" t="str">
        <x:v>1</x:v>
      </x:c>
      <x:c r="F288" s="125" t="str">
        <x:v>1.0000000000000000</x:v>
      </x:c>
      <x:c r="G288" s="125" t="n">
        <x:v>0</x:v>
      </x:c>
      <x:c r="H288" s="108" t="str">
        <x:v>PASS</x:v>
      </x:c>
    </x:row>
    <x:row r="289">
      <x:c r="A289" s="108" t="n">
        <x:v>8</x:v>
      </x:c>
      <x:c r="B289" s="108" t="n">
        <x:v>2</x:v>
      </x:c>
      <x:c r="C289" s="108" t="n">
        <x:v>1</x:v>
      </x:c>
      <x:c r="D289" s="108" t="str">
        <x:v>baseAT</x:v>
      </x:c>
      <x:c r="E289" s="125" t="str">
        <x:v>7</x:v>
      </x:c>
      <x:c r="F289" s="125" t="str">
        <x:v>7.0000000000000000</x:v>
      </x:c>
      <x:c r="G289" s="125" t="n">
        <x:v>0</x:v>
      </x:c>
      <x:c r="H289" s="108" t="str">
        <x:v>PASS</x:v>
      </x:c>
    </x:row>
    <x:row r="290">
      <x:c r="A290" s="108" t="n">
        <x:v>8</x:v>
      </x:c>
      <x:c r="B290" s="108" t="n">
        <x:v>2</x:v>
      </x:c>
      <x:c r="C290" s="108" t="n">
        <x:v>1</x:v>
      </x:c>
      <x:c r="D290" s="108" t="str">
        <x:v>fatigueMultiplier</x:v>
      </x:c>
      <x:c r="E290" s="125" t="str">
        <x:v>1.0870407019286981</x:v>
      </x:c>
      <x:c r="F290" s="125" t="str">
        <x:v>1.0870407019286980</x:v>
      </x:c>
      <x:c r="G290" s="125" t="n">
        <x:v>0</x:v>
      </x:c>
      <x:c r="H290" s="108" t="str">
        <x:v>PASS</x:v>
      </x:c>
    </x:row>
    <x:row r="291">
      <x:c r="A291" s="108" t="n">
        <x:v>8</x:v>
      </x:c>
      <x:c r="B291" s="108" t="n">
        <x:v>2</x:v>
      </x:c>
      <x:c r="C291" s="108" t="n">
        <x:v>1</x:v>
      </x:c>
      <x:c r="D291" s="108" t="str">
        <x:v>actualProcessing</x:v>
      </x:c>
      <x:c r="E291" s="125" t="str">
        <x:v>6.5222442115721879</x:v>
      </x:c>
      <x:c r="F291" s="125" t="str">
        <x:v>6.5222442115721880</x:v>
      </x:c>
      <x:c r="G291" s="125" t="n">
        <x:v>0</x:v>
      </x:c>
      <x:c r="H291" s="108" t="str">
        <x:v>PASS</x:v>
      </x:c>
    </x:row>
    <x:row r="292">
      <x:c r="A292" s="108" t="n">
        <x:v>8</x:v>
      </x:c>
      <x:c r="B292" s="108" t="n">
        <x:v>2</x:v>
      </x:c>
      <x:c r="C292" s="108" t="n">
        <x:v>1</x:v>
      </x:c>
      <x:c r="D292" s="108" t="str">
        <x:v>actualSetup</x:v>
      </x:c>
      <x:c r="E292" s="125" t="str">
        <x:v>1.0870407019286981</x:v>
      </x:c>
      <x:c r="F292" s="125" t="str">
        <x:v>1.0870407019286980</x:v>
      </x:c>
      <x:c r="G292" s="125" t="n">
        <x:v>0</x:v>
      </x:c>
      <x:c r="H292" s="108" t="str">
        <x:v>PASS</x:v>
      </x:c>
    </x:row>
    <x:row r="293">
      <x:c r="A293" s="108" t="n">
        <x:v>8</x:v>
      </x:c>
      <x:c r="B293" s="108" t="n">
        <x:v>2</x:v>
      </x:c>
      <x:c r="C293" s="108" t="n">
        <x:v>1</x:v>
      </x:c>
      <x:c r="D293" s="108" t="str">
        <x:v>actualAT</x:v>
      </x:c>
      <x:c r="E293" s="125" t="str">
        <x:v>7.6092849135008862</x:v>
      </x:c>
      <x:c r="F293" s="125" t="str">
        <x:v>7.6092849135008860</x:v>
      </x:c>
      <x:c r="G293" s="125" t="n">
        <x:v>0</x:v>
      </x:c>
      <x:c r="H293" s="108" t="str">
        <x:v>PASS</x:v>
      </x:c>
    </x:row>
    <x:row r="294">
      <x:c r="A294" s="108" t="n">
        <x:v>8</x:v>
      </x:c>
      <x:c r="B294" s="108" t="n">
        <x:v>2</x:v>
      </x:c>
      <x:c r="C294" s="108" t="n">
        <x:v>1</x:v>
      </x:c>
      <x:c r="D294" s="108" t="str">
        <x:v>end</x:v>
      </x:c>
      <x:c r="E294" s="125" t="str">
        <x:v>19.609284913500886</x:v>
      </x:c>
      <x:c r="F294" s="125" t="str">
        <x:v>19.609284913500886</x:v>
      </x:c>
      <x:c r="G294" s="125" t="n">
        <x:v>0</x:v>
      </x:c>
      <x:c r="H294" s="108" t="str">
        <x:v>PASS</x:v>
      </x:c>
    </x:row>
    <x:row r="295">
      <x:c r="A295" s="108" t="n">
        <x:v>8</x:v>
      </x:c>
      <x:c r="B295" s="108" t="n">
        <x:v>2</x:v>
      </x:c>
      <x:c r="C295" s="108" t="n">
        <x:v>1</x:v>
      </x:c>
      <x:c r="D295" s="108" t="str">
        <x:v>fatigueAfter</x:v>
      </x:c>
      <x:c r="E295" s="125" t="str">
        <x:v>0.33753992241299968</x:v>
      </x:c>
      <x:c r="F295" s="125" t="str">
        <x:v>0.33753992241299970</x:v>
      </x:c>
      <x:c r="G295" s="125" t="n">
        <x:v>0</x:v>
      </x:c>
      <x:c r="H295" s="108" t="str">
        <x:v>PASS</x:v>
      </x:c>
    </x:row>
    <x:row r="296">
      <x:c r="A296" s="108" t="n">
        <x:v>8</x:v>
      </x:c>
      <x:c r="B296" s="108" t="n">
        <x:v>2</x:v>
      </x:c>
      <x:c r="C296" s="108" t="n">
        <x:v>1</x:v>
      </x:c>
      <x:c r="D296" s="108" t="str">
        <x:v>machineIdle</x:v>
      </x:c>
      <x:c r="E296" s="125" t="str">
        <x:v>0</x:v>
      </x:c>
      <x:c r="F296" s="125" t="str">
        <x:v>0.0000000000000000</x:v>
      </x:c>
      <x:c r="G296" s="125" t="n">
        <x:v>0</x:v>
      </x:c>
      <x:c r="H296" s="108" t="str">
        <x:v>PASS</x:v>
      </x:c>
    </x:row>
    <x:row r="297">
      <x:c r="A297" s="108" t="n">
        <x:v>8</x:v>
      </x:c>
      <x:c r="B297" s="108" t="n">
        <x:v>2</x:v>
      </x:c>
      <x:c r="C297" s="108" t="n">
        <x:v>1</x:v>
      </x:c>
      <x:c r="D297" s="108" t="str">
        <x:v>energy</x:v>
      </x:c>
      <x:c r="E297" s="125" t="str">
        <x:v>45.655709481005317</x:v>
      </x:c>
      <x:c r="F297" s="125" t="str">
        <x:v>45.655709481005320</x:v>
      </x:c>
      <x:c r="G297" s="125" t="n">
        <x:v>0</x:v>
      </x:c>
      <x:c r="H297" s="108" t="str">
        <x:v>PASS</x:v>
      </x:c>
    </x:row>
    <x:row r="298">
      <x:c r="A298" s="108" t="n">
        <x:v>8</x:v>
      </x:c>
      <x:c r="B298" s="108" t="n">
        <x:v>2</x:v>
      </x:c>
      <x:c r="C298" s="108" t="n">
        <x:v>1</x:v>
      </x:c>
      <x:c r="D298" s="108" t="str">
        <x:v>cost</x:v>
      </x:c>
      <x:c r="E298" s="125" t="str">
        <x:v>76.092849135008862</x:v>
      </x:c>
      <x:c r="F298" s="125" t="str">
        <x:v>76.092849135008860</x:v>
      </x:c>
      <x:c r="G298" s="125" t="n">
        <x:v>0</x:v>
      </x:c>
      <x:c r="H298" s="108" t="str">
        <x:v>PASS</x:v>
      </x:c>
    </x:row>
    <x:row r="299">
      <x:c r="A299" s="108" t="n">
        <x:v>8</x:v>
      </x:c>
      <x:c r="B299" s="108" t="n">
        <x:v>2</x:v>
      </x:c>
      <x:c r="C299" s="108" t="n">
        <x:v>1</x:v>
      </x:c>
      <x:c r="D299" s="108" t="str">
        <x:v>safeThresholdExceeded</x:v>
      </x:c>
      <x:c r="E299" s="125" t="str">
        <x:v>false</x:v>
      </x:c>
      <x:c r="F299" s="125" t="str">
        <x:v>false</x:v>
      </x:c>
      <x:c r="G299" s="125" t="str"/>
      <x:c r="H299" s="108" t="str">
        <x:v>PASS</x:v>
      </x:c>
    </x:row>
    <x:row r="300">
      <x:c r="A300" s="108" t="n">
        <x:v>9</x:v>
      </x:c>
      <x:c r="B300" s="108" t="n">
        <x:v>1</x:v>
      </x:c>
      <x:c r="C300" s="108" t="n">
        <x:v>2</x:v>
      </x:c>
      <x:c r="D300" s="108" t="str">
        <x:v>sequence</x:v>
      </x:c>
      <x:c r="E300" s="125" t="str">
        <x:v>9</x:v>
      </x:c>
      <x:c r="F300" s="125" t="str">
        <x:v>9</x:v>
      </x:c>
      <x:c r="G300" s="125" t="n">
        <x:v>0</x:v>
      </x:c>
      <x:c r="H300" s="108" t="str">
        <x:v>PASS</x:v>
      </x:c>
    </x:row>
    <x:row r="301">
      <x:c r="A301" s="108" t="n">
        <x:v>9</x:v>
      </x:c>
      <x:c r="B301" s="108" t="n">
        <x:v>1</x:v>
      </x:c>
      <x:c r="C301" s="108" t="n">
        <x:v>2</x:v>
      </x:c>
      <x:c r="D301" s="108" t="str">
        <x:v>job</x:v>
      </x:c>
      <x:c r="E301" s="125" t="str">
        <x:v>1</x:v>
      </x:c>
      <x:c r="F301" s="125" t="str">
        <x:v>1</x:v>
      </x:c>
      <x:c r="G301" s="125" t="n">
        <x:v>0</x:v>
      </x:c>
      <x:c r="H301" s="108" t="str">
        <x:v>PASS</x:v>
      </x:c>
    </x:row>
    <x:row r="302">
      <x:c r="A302" s="108" t="n">
        <x:v>9</x:v>
      </x:c>
      <x:c r="B302" s="108" t="n">
        <x:v>1</x:v>
      </x:c>
      <x:c r="C302" s="108" t="n">
        <x:v>2</x:v>
      </x:c>
      <x:c r="D302" s="108" t="str">
        <x:v>stage</x:v>
      </x:c>
      <x:c r="E302" s="125" t="str">
        <x:v>2</x:v>
      </x:c>
      <x:c r="F302" s="125" t="str">
        <x:v>2</x:v>
      </x:c>
      <x:c r="G302" s="125" t="n">
        <x:v>0</x:v>
      </x:c>
      <x:c r="H302" s="108" t="str">
        <x:v>PASS</x:v>
      </x:c>
    </x:row>
    <x:row r="303">
      <x:c r="A303" s="108" t="n">
        <x:v>9</x:v>
      </x:c>
      <x:c r="B303" s="108" t="n">
        <x:v>1</x:v>
      </x:c>
      <x:c r="C303" s="108" t="n">
        <x:v>2</x:v>
      </x:c>
      <x:c r="D303" s="108" t="str">
        <x:v>factory</x:v>
      </x:c>
      <x:c r="E303" s="125" t="str">
        <x:v>2</x:v>
      </x:c>
      <x:c r="F303" s="125" t="str">
        <x:v>2</x:v>
      </x:c>
      <x:c r="G303" s="125" t="n">
        <x:v>0</x:v>
      </x:c>
      <x:c r="H303" s="108" t="str">
        <x:v>PASS</x:v>
      </x:c>
    </x:row>
    <x:row r="304">
      <x:c r="A304" s="108" t="n">
        <x:v>9</x:v>
      </x:c>
      <x:c r="B304" s="108" t="n">
        <x:v>1</x:v>
      </x:c>
      <x:c r="C304" s="108" t="n">
        <x:v>2</x:v>
      </x:c>
      <x:c r="D304" s="108" t="str">
        <x:v>machine</x:v>
      </x:c>
      <x:c r="E304" s="125" t="str">
        <x:v>1</x:v>
      </x:c>
      <x:c r="F304" s="125" t="str">
        <x:v>1</x:v>
      </x:c>
      <x:c r="G304" s="125" t="n">
        <x:v>0</x:v>
      </x:c>
      <x:c r="H304" s="108" t="str">
        <x:v>PASS</x:v>
      </x:c>
    </x:row>
    <x:row r="305">
      <x:c r="A305" s="108" t="n">
        <x:v>9</x:v>
      </x:c>
      <x:c r="B305" s="108" t="n">
        <x:v>1</x:v>
      </x:c>
      <x:c r="C305" s="108" t="n">
        <x:v>2</x:v>
      </x:c>
      <x:c r="D305" s="108" t="str">
        <x:v>worker</x:v>
      </x:c>
      <x:c r="E305" s="125" t="str">
        <x:v>4</x:v>
      </x:c>
      <x:c r="F305" s="125" t="str">
        <x:v>4</x:v>
      </x:c>
      <x:c r="G305" s="125" t="n">
        <x:v>0</x:v>
      </x:c>
      <x:c r="H305" s="108" t="str">
        <x:v>PASS</x:v>
      </x:c>
    </x:row>
    <x:row r="306">
      <x:c r="A306" s="108" t="n">
        <x:v>9</x:v>
      </x:c>
      <x:c r="B306" s="108" t="n">
        <x:v>1</x:v>
      </x:c>
      <x:c r="C306" s="108" t="n">
        <x:v>2</x:v>
      </x:c>
      <x:c r="D306" s="108" t="str">
        <x:v>predecessorCompletion</x:v>
      </x:c>
      <x:c r="E306" s="125" t="str">
        <x:v>12</x:v>
      </x:c>
      <x:c r="F306" s="125" t="str">
        <x:v>12.000000000000000</x:v>
      </x:c>
      <x:c r="G306" s="125" t="n">
        <x:v>0</x:v>
      </x:c>
      <x:c r="H306" s="108" t="str">
        <x:v>PASS</x:v>
      </x:c>
    </x:row>
    <x:row r="307">
      <x:c r="A307" s="108" t="n">
        <x:v>9</x:v>
      </x:c>
      <x:c r="B307" s="108" t="n">
        <x:v>1</x:v>
      </x:c>
      <x:c r="C307" s="108" t="n">
        <x:v>2</x:v>
      </x:c>
      <x:c r="D307" s="108" t="str">
        <x:v>machineAvailableBefore</x:v>
      </x:c>
      <x:c r="E307" s="125" t="str">
        <x:v>0</x:v>
      </x:c>
      <x:c r="F307" s="125" t="str">
        <x:v>0.0000000000000000</x:v>
      </x:c>
      <x:c r="G307" s="125" t="n">
        <x:v>0</x:v>
      </x:c>
      <x:c r="H307" s="108" t="str">
        <x:v>PASS</x:v>
      </x:c>
    </x:row>
    <x:row r="308">
      <x:c r="A308" s="108" t="n">
        <x:v>9</x:v>
      </x:c>
      <x:c r="B308" s="108" t="n">
        <x:v>1</x:v>
      </x:c>
      <x:c r="C308" s="108" t="n">
        <x:v>2</x:v>
      </x:c>
      <x:c r="D308" s="108" t="str">
        <x:v>workerAvailableBefore</x:v>
      </x:c>
      <x:c r="E308" s="125" t="str">
        <x:v>0</x:v>
      </x:c>
      <x:c r="F308" s="125" t="str">
        <x:v>0.0000000000000000</x:v>
      </x:c>
      <x:c r="G308" s="125" t="n">
        <x:v>0</x:v>
      </x:c>
      <x:c r="H308" s="108" t="str">
        <x:v>PASS</x:v>
      </x:c>
    </x:row>
    <x:row r="309">
      <x:c r="A309" s="108" t="n">
        <x:v>9</x:v>
      </x:c>
      <x:c r="B309" s="108" t="n">
        <x:v>1</x:v>
      </x:c>
      <x:c r="C309" s="108" t="n">
        <x:v>2</x:v>
      </x:c>
      <x:c r="D309" s="108" t="str">
        <x:v>start</x:v>
      </x:c>
      <x:c r="E309" s="125" t="str">
        <x:v>12</x:v>
      </x:c>
      <x:c r="F309" s="125" t="str">
        <x:v>12.000000000000000</x:v>
      </x:c>
      <x:c r="G309" s="125" t="n">
        <x:v>0</x:v>
      </x:c>
      <x:c r="H309" s="108" t="str">
        <x:v>PASS</x:v>
      </x:c>
    </x:row>
    <x:row r="310">
      <x:c r="A310" s="108" t="n">
        <x:v>9</x:v>
      </x:c>
      <x:c r="B310" s="108" t="n">
        <x:v>1</x:v>
      </x:c>
      <x:c r="C310" s="108" t="n">
        <x:v>2</x:v>
      </x:c>
      <x:c r="D310" s="108" t="str">
        <x:v>recoveryDuration</x:v>
      </x:c>
      <x:c r="E310" s="125" t="str">
        <x:v>0</x:v>
      </x:c>
      <x:c r="F310" s="125" t="str">
        <x:v>0.0000000000000000</x:v>
      </x:c>
      <x:c r="G310" s="125" t="n">
        <x:v>0</x:v>
      </x:c>
      <x:c r="H310" s="108" t="str">
        <x:v>PASS</x:v>
      </x:c>
    </x:row>
    <x:row r="311">
      <x:c r="A311" s="108" t="n">
        <x:v>9</x:v>
      </x:c>
      <x:c r="B311" s="108" t="n">
        <x:v>1</x:v>
      </x:c>
      <x:c r="C311" s="108" t="n">
        <x:v>2</x:v>
      </x:c>
      <x:c r="D311" s="108" t="str">
        <x:v>fatigueBeforeRecovery</x:v>
      </x:c>
      <x:c r="E311" s="125" t="str">
        <x:v>0</x:v>
      </x:c>
      <x:c r="F311" s="125" t="str">
        <x:v>0.0000000000000000</x:v>
      </x:c>
      <x:c r="G311" s="125" t="n">
        <x:v>0</x:v>
      </x:c>
      <x:c r="H311" s="108" t="str">
        <x:v>PASS</x:v>
      </x:c>
    </x:row>
    <x:row r="312">
      <x:c r="A312" s="108" t="n">
        <x:v>9</x:v>
      </x:c>
      <x:c r="B312" s="108" t="n">
        <x:v>1</x:v>
      </x:c>
      <x:c r="C312" s="108" t="n">
        <x:v>2</x:v>
      </x:c>
      <x:c r="D312" s="108" t="str">
        <x:v>fatigueAtStart</x:v>
      </x:c>
      <x:c r="E312" s="125" t="str">
        <x:v>0</x:v>
      </x:c>
      <x:c r="F312" s="125" t="str">
        <x:v>0.0000000000000000</x:v>
      </x:c>
      <x:c r="G312" s="125" t="n">
        <x:v>0</x:v>
      </x:c>
      <x:c r="H312" s="108" t="str">
        <x:v>PASS</x:v>
      </x:c>
    </x:row>
    <x:row r="313">
      <x:c r="A313" s="108" t="n">
        <x:v>9</x:v>
      </x:c>
      <x:c r="B313" s="108" t="n">
        <x:v>1</x:v>
      </x:c>
      <x:c r="C313" s="108" t="n">
        <x:v>2</x:v>
      </x:c>
      <x:c r="D313" s="108" t="str">
        <x:v>ST</x:v>
      </x:c>
      <x:c r="E313" s="125" t="str">
        <x:v>6</x:v>
      </x:c>
      <x:c r="F313" s="125" t="str">
        <x:v>6</x:v>
      </x:c>
      <x:c r="G313" s="125" t="n">
        <x:v>0</x:v>
      </x:c>
      <x:c r="H313" s="108" t="str">
        <x:v>PASS</x:v>
      </x:c>
    </x:row>
    <x:row r="314">
      <x:c r="A314" s="108" t="n">
        <x:v>9</x:v>
      </x:c>
      <x:c r="B314" s="108" t="n">
        <x:v>1</x:v>
      </x:c>
      <x:c r="C314" s="108" t="n">
        <x:v>2</x:v>
      </x:c>
      <x:c r="D314" s="108" t="str">
        <x:v>SUT</x:v>
      </x:c>
      <x:c r="E314" s="125" t="str">
        <x:v>1</x:v>
      </x:c>
      <x:c r="F314" s="125" t="str">
        <x:v>1</x:v>
      </x:c>
      <x:c r="G314" s="125" t="n">
        <x:v>0</x:v>
      </x:c>
      <x:c r="H314" s="108" t="str">
        <x:v>PASS</x:v>
      </x:c>
    </x:row>
    <x:row r="315">
      <x:c r="A315" s="108" t="n">
        <x:v>9</x:v>
      </x:c>
      <x:c r="B315" s="108" t="n">
        <x:v>1</x:v>
      </x:c>
      <x:c r="C315" s="108" t="n">
        <x:v>2</x:v>
      </x:c>
      <x:c r="D315" s="108" t="str">
        <x:v>machineSpeed</x:v>
      </x:c>
      <x:c r="E315" s="125" t="str">
        <x:v>1.1000000000000001</x:v>
      </x:c>
      <x:c r="F315" s="125" t="str">
        <x:v>1.1000000000000000</x:v>
      </x:c>
      <x:c r="G315" s="125" t="n">
        <x:v>0</x:v>
      </x:c>
      <x:c r="H315" s="108" t="str">
        <x:v>PASS</x:v>
      </x:c>
    </x:row>
    <x:row r="316">
      <x:c r="A316" s="108" t="n">
        <x:v>9</x:v>
      </x:c>
      <x:c r="B316" s="108" t="n">
        <x:v>1</x:v>
      </x:c>
      <x:c r="C316" s="108" t="n">
        <x:v>2</x:v>
      </x:c>
      <x:c r="D316" s="108" t="str">
        <x:v>machinePower</x:v>
      </x:c>
      <x:c r="E316" s="125" t="str">
        <x:v>7</x:v>
      </x:c>
      <x:c r="F316" s="125" t="str">
        <x:v>7</x:v>
      </x:c>
      <x:c r="G316" s="125" t="n">
        <x:v>0</x:v>
      </x:c>
      <x:c r="H316" s="108" t="str">
        <x:v>PASS</x:v>
      </x:c>
    </x:row>
    <x:row r="317">
      <x:c r="A317" s="108" t="n">
        <x:v>9</x:v>
      </x:c>
      <x:c r="B317" s="108" t="n">
        <x:v>1</x:v>
      </x:c>
      <x:c r="C317" s="108" t="n">
        <x:v>2</x:v>
      </x:c>
      <x:c r="D317" s="108" t="str">
        <x:v>workerEfficiency</x:v>
      </x:c>
      <x:c r="E317" s="125" t="str">
        <x:v>1.1499999999999999</x:v>
      </x:c>
      <x:c r="F317" s="125" t="str">
        <x:v>1.1500000000000000</x:v>
      </x:c>
      <x:c r="G317" s="125" t="n">
        <x:v>0</x:v>
      </x:c>
      <x:c r="H317" s="108" t="str">
        <x:v>PASS</x:v>
      </x:c>
    </x:row>
    <x:row r="318">
      <x:c r="A318" s="108" t="n">
        <x:v>9</x:v>
      </x:c>
      <x:c r="B318" s="108" t="n">
        <x:v>1</x:v>
      </x:c>
      <x:c r="C318" s="108" t="n">
        <x:v>2</x:v>
      </x:c>
      <x:c r="D318" s="108" t="str">
        <x:v>workerCost</x:v>
      </x:c>
      <x:c r="E318" s="125" t="str">
        <x:v>12</x:v>
      </x:c>
      <x:c r="F318" s="125" t="str">
        <x:v>12</x:v>
      </x:c>
      <x:c r="G318" s="125" t="n">
        <x:v>0</x:v>
      </x:c>
      <x:c r="H318" s="108" t="str">
        <x:v>PASS</x:v>
      </x:c>
    </x:row>
    <x:row r="319">
      <x:c r="A319" s="108" t="n">
        <x:v>9</x:v>
      </x:c>
      <x:c r="B319" s="108" t="n">
        <x:v>1</x:v>
      </x:c>
      <x:c r="C319" s="108" t="n">
        <x:v>2</x:v>
      </x:c>
      <x:c r="D319" s="108" t="str">
        <x:v>lambda</x:v>
      </x:c>
      <x:c r="E319" s="125" t="str">
        <x:v>0.023</x:v>
      </x:c>
      <x:c r="F319" s="125" t="str">
        <x:v>0.023000000000000000</x:v>
      </x:c>
      <x:c r="G319" s="125" t="n">
        <x:v>0</x:v>
      </x:c>
      <x:c r="H319" s="108" t="str">
        <x:v>PASS</x:v>
      </x:c>
    </x:row>
    <x:row r="320">
      <x:c r="A320" s="108" t="n">
        <x:v>9</x:v>
      </x:c>
      <x:c r="B320" s="108" t="n">
        <x:v>1</x:v>
      </x:c>
      <x:c r="C320" s="108" t="n">
        <x:v>2</x:v>
      </x:c>
      <x:c r="D320" s="108" t="str">
        <x:v>muCurrentStage</x:v>
      </x:c>
      <x:c r="E320" s="125" t="str">
        <x:v>0.050000000000000003</x:v>
      </x:c>
      <x:c r="F320" s="125" t="str">
        <x:v>0.050000000000000000</x:v>
      </x:c>
      <x:c r="G320" s="125" t="n">
        <x:v>0</x:v>
      </x:c>
      <x:c r="H320" s="108" t="str">
        <x:v>PASS</x:v>
      </x:c>
    </x:row>
    <x:row r="321">
      <x:c r="A321" s="108" t="n">
        <x:v>9</x:v>
      </x:c>
      <x:c r="B321" s="108" t="n">
        <x:v>1</x:v>
      </x:c>
      <x:c r="C321" s="108" t="n">
        <x:v>2</x:v>
      </x:c>
      <x:c r="D321" s="108" t="str">
        <x:v>recoveryMu</x:v>
      </x:c>
      <x:c r="E321" s="125" t="str">
        <x:v>0.050000000000000003</x:v>
      </x:c>
      <x:c r="F321" s="125" t="str">
        <x:v>0.050000000000000000</x:v>
      </x:c>
      <x:c r="G321" s="125" t="n">
        <x:v>0</x:v>
      </x:c>
      <x:c r="H321" s="108" t="str">
        <x:v>PASS</x:v>
      </x:c>
    </x:row>
    <x:row r="322">
      <x:c r="A322" s="108" t="n">
        <x:v>9</x:v>
      </x:c>
      <x:c r="B322" s="108" t="n">
        <x:v>1</x:v>
      </x:c>
      <x:c r="C322" s="108" t="n">
        <x:v>2</x:v>
      </x:c>
      <x:c r="D322" s="108" t="str">
        <x:v>r</x:v>
      </x:c>
      <x:c r="E322" s="125" t="str">
        <x:v>0.29999999999999999</x:v>
      </x:c>
      <x:c r="F322" s="125" t="str">
        <x:v>0.30000000000000000</x:v>
      </x:c>
      <x:c r="G322" s="125" t="n">
        <x:v>0</x:v>
      </x:c>
      <x:c r="H322" s="108" t="str">
        <x:v>PASS</x:v>
      </x:c>
    </x:row>
    <x:row r="323">
      <x:c r="A323" s="108" t="n">
        <x:v>9</x:v>
      </x:c>
      <x:c r="B323" s="108" t="n">
        <x:v>1</x:v>
      </x:c>
      <x:c r="C323" s="108" t="n">
        <x:v>2</x:v>
      </x:c>
      <x:c r="D323" s="108" t="str">
        <x:v>delta</x:v>
      </x:c>
      <x:c r="E323" s="125" t="str">
        <x:v>18.817761402899524</x:v>
      </x:c>
      <x:c r="F323" s="125" t="str">
        <x:v>18.817761402899524</x:v>
      </x:c>
      <x:c r="G323" s="125" t="n">
        <x:v>0</x:v>
      </x:c>
      <x:c r="H323" s="108" t="str">
        <x:v>PASS</x:v>
      </x:c>
    </x:row>
    <x:row r="324">
      <x:c r="A324" s="108" t="n">
        <x:v>9</x:v>
      </x:c>
      <x:c r="B324" s="108" t="n">
        <x:v>1</x:v>
      </x:c>
      <x:c r="C324" s="108" t="n">
        <x:v>2</x:v>
      </x:c>
      <x:c r="D324" s="108" t="str">
        <x:v>baseProcessing</x:v>
      </x:c>
      <x:c r="E324" s="125" t="str">
        <x:v>4.7430830039525693</x:v>
      </x:c>
      <x:c r="F324" s="125" t="str">
        <x:v>4.7430830039525690</x:v>
      </x:c>
      <x:c r="G324" s="125" t="n">
        <x:v>0</x:v>
      </x:c>
      <x:c r="H324" s="108" t="str">
        <x:v>PASS</x:v>
      </x:c>
    </x:row>
    <x:row r="325">
      <x:c r="A325" s="108" t="n">
        <x:v>9</x:v>
      </x:c>
      <x:c r="B325" s="108" t="n">
        <x:v>1</x:v>
      </x:c>
      <x:c r="C325" s="108" t="n">
        <x:v>2</x:v>
      </x:c>
      <x:c r="D325" s="108" t="str">
        <x:v>baseSetup</x:v>
      </x:c>
      <x:c r="E325" s="125" t="str">
        <x:v>0.86956521739130443</x:v>
      </x:c>
      <x:c r="F325" s="125" t="str">
        <x:v>0.86956521739130440</x:v>
      </x:c>
      <x:c r="G325" s="125" t="n">
        <x:v>0</x:v>
      </x:c>
      <x:c r="H325" s="108" t="str">
        <x:v>PASS</x:v>
      </x:c>
    </x:row>
    <x:row r="326">
      <x:c r="A326" s="108" t="n">
        <x:v>9</x:v>
      </x:c>
      <x:c r="B326" s="108" t="n">
        <x:v>1</x:v>
      </x:c>
      <x:c r="C326" s="108" t="n">
        <x:v>2</x:v>
      </x:c>
      <x:c r="D326" s="108" t="str">
        <x:v>baseAT</x:v>
      </x:c>
      <x:c r="E326" s="125" t="str">
        <x:v>5.612648221343874</x:v>
      </x:c>
      <x:c r="F326" s="125" t="str">
        <x:v>5.6126482213438740</x:v>
      </x:c>
      <x:c r="G326" s="125" t="n">
        <x:v>0</x:v>
      </x:c>
      <x:c r="H326" s="108" t="str">
        <x:v>PASS</x:v>
      </x:c>
    </x:row>
    <x:row r="327">
      <x:c r="A327" s="108" t="n">
        <x:v>9</x:v>
      </x:c>
      <x:c r="B327" s="108" t="n">
        <x:v>1</x:v>
      </x:c>
      <x:c r="C327" s="108" t="n">
        <x:v>2</x:v>
      </x:c>
      <x:c r="D327" s="108" t="str">
        <x:v>fatigueMultiplier</x:v>
      </x:c>
      <x:c r="E327" s="125" t="str">
        <x:v>1</x:v>
      </x:c>
      <x:c r="F327" s="125" t="str">
        <x:v>1.0000000000000000</x:v>
      </x:c>
      <x:c r="G327" s="125" t="n">
        <x:v>0</x:v>
      </x:c>
      <x:c r="H327" s="108" t="str">
        <x:v>PASS</x:v>
      </x:c>
    </x:row>
    <x:row r="328">
      <x:c r="A328" s="108" t="n">
        <x:v>9</x:v>
      </x:c>
      <x:c r="B328" s="108" t="n">
        <x:v>1</x:v>
      </x:c>
      <x:c r="C328" s="108" t="n">
        <x:v>2</x:v>
      </x:c>
      <x:c r="D328" s="108" t="str">
        <x:v>actualProcessing</x:v>
      </x:c>
      <x:c r="E328" s="125" t="str">
        <x:v>4.7430830039525693</x:v>
      </x:c>
      <x:c r="F328" s="125" t="str">
        <x:v>4.7430830039525690</x:v>
      </x:c>
      <x:c r="G328" s="125" t="n">
        <x:v>0</x:v>
      </x:c>
      <x:c r="H328" s="108" t="str">
        <x:v>PASS</x:v>
      </x:c>
    </x:row>
    <x:row r="329">
      <x:c r="A329" s="108" t="n">
        <x:v>9</x:v>
      </x:c>
      <x:c r="B329" s="108" t="n">
        <x:v>1</x:v>
      </x:c>
      <x:c r="C329" s="108" t="n">
        <x:v>2</x:v>
      </x:c>
      <x:c r="D329" s="108" t="str">
        <x:v>actualSetup</x:v>
      </x:c>
      <x:c r="E329" s="125" t="str">
        <x:v>0.86956521739130443</x:v>
      </x:c>
      <x:c r="F329" s="125" t="str">
        <x:v>0.86956521739130440</x:v>
      </x:c>
      <x:c r="G329" s="125" t="n">
        <x:v>0</x:v>
      </x:c>
      <x:c r="H329" s="108" t="str">
        <x:v>PASS</x:v>
      </x:c>
    </x:row>
    <x:row r="330">
      <x:c r="A330" s="108" t="n">
        <x:v>9</x:v>
      </x:c>
      <x:c r="B330" s="108" t="n">
        <x:v>1</x:v>
      </x:c>
      <x:c r="C330" s="108" t="n">
        <x:v>2</x:v>
      </x:c>
      <x:c r="D330" s="108" t="str">
        <x:v>actualAT</x:v>
      </x:c>
      <x:c r="E330" s="125" t="str">
        <x:v>5.612648221343874</x:v>
      </x:c>
      <x:c r="F330" s="125" t="str">
        <x:v>5.6126482213438740</x:v>
      </x:c>
      <x:c r="G330" s="125" t="n">
        <x:v>0</x:v>
      </x:c>
      <x:c r="H330" s="108" t="str">
        <x:v>PASS</x:v>
      </x:c>
    </x:row>
    <x:row r="331">
      <x:c r="A331" s="108" t="n">
        <x:v>9</x:v>
      </x:c>
      <x:c r="B331" s="108" t="n">
        <x:v>1</x:v>
      </x:c>
      <x:c r="C331" s="108" t="n">
        <x:v>2</x:v>
      </x:c>
      <x:c r="D331" s="108" t="str">
        <x:v>end</x:v>
      </x:c>
      <x:c r="E331" s="125" t="str">
        <x:v>17.612648221343875</x:v>
      </x:c>
      <x:c r="F331" s="125" t="str">
        <x:v>17.612648221343875</x:v>
      </x:c>
      <x:c r="G331" s="125" t="n">
        <x:v>0</x:v>
      </x:c>
      <x:c r="H331" s="108" t="str">
        <x:v>PASS</x:v>
      </x:c>
    </x:row>
    <x:row r="332">
      <x:c r="A332" s="108" t="n">
        <x:v>9</x:v>
      </x:c>
      <x:c r="B332" s="108" t="n">
        <x:v>1</x:v>
      </x:c>
      <x:c r="C332" s="108" t="n">
        <x:v>2</x:v>
      </x:c>
      <x:c r="D332" s="108" t="str">
        <x:v>fatigueAfter</x:v>
      </x:c>
      <x:c r="E332" s="125" t="str">
        <x:v>0.12110593754654357</x:v>
      </x:c>
      <x:c r="F332" s="125" t="str">
        <x:v>0.12110593754654357</x:v>
      </x:c>
      <x:c r="G332" s="125" t="n">
        <x:v>0</x:v>
      </x:c>
      <x:c r="H332" s="108" t="str">
        <x:v>PASS</x:v>
      </x:c>
    </x:row>
    <x:row r="333">
      <x:c r="A333" s="108" t="n">
        <x:v>9</x:v>
      </x:c>
      <x:c r="B333" s="108" t="n">
        <x:v>1</x:v>
      </x:c>
      <x:c r="C333" s="108" t="n">
        <x:v>2</x:v>
      </x:c>
      <x:c r="D333" s="108" t="str">
        <x:v>machineIdle</x:v>
      </x:c>
      <x:c r="E333" s="125" t="str">
        <x:v>0</x:v>
      </x:c>
      <x:c r="F333" s="125" t="str">
        <x:v>0.0000000000000000</x:v>
      </x:c>
      <x:c r="G333" s="125" t="n">
        <x:v>0</x:v>
      </x:c>
      <x:c r="H333" s="108" t="str">
        <x:v>PASS</x:v>
      </x:c>
    </x:row>
    <x:row r="334">
      <x:c r="A334" s="108" t="n">
        <x:v>9</x:v>
      </x:c>
      <x:c r="B334" s="108" t="n">
        <x:v>1</x:v>
      </x:c>
      <x:c r="C334" s="108" t="n">
        <x:v>2</x:v>
      </x:c>
      <x:c r="D334" s="108" t="str">
        <x:v>energy</x:v>
      </x:c>
      <x:c r="E334" s="125" t="str">
        <x:v>39.288537549407117</x:v>
      </x:c>
      <x:c r="F334" s="125" t="str">
        <x:v>39.288537549407120</x:v>
      </x:c>
      <x:c r="G334" s="125" t="n">
        <x:v>0</x:v>
      </x:c>
      <x:c r="H334" s="108" t="str">
        <x:v>PASS</x:v>
      </x:c>
    </x:row>
    <x:row r="335">
      <x:c r="A335" s="108" t="n">
        <x:v>9</x:v>
      </x:c>
      <x:c r="B335" s="108" t="n">
        <x:v>1</x:v>
      </x:c>
      <x:c r="C335" s="108" t="n">
        <x:v>2</x:v>
      </x:c>
      <x:c r="D335" s="108" t="str">
        <x:v>cost</x:v>
      </x:c>
      <x:c r="E335" s="125" t="str">
        <x:v>67.351778656126484</x:v>
      </x:c>
      <x:c r="F335" s="125" t="str">
        <x:v>67.351778656126480</x:v>
      </x:c>
      <x:c r="G335" s="125" t="n">
        <x:v>0</x:v>
      </x:c>
      <x:c r="H335" s="108" t="str">
        <x:v>PASS</x:v>
      </x:c>
    </x:row>
    <x:row r="336">
      <x:c r="A336" s="108" t="n">
        <x:v>9</x:v>
      </x:c>
      <x:c r="B336" s="108" t="n">
        <x:v>1</x:v>
      </x:c>
      <x:c r="C336" s="108" t="n">
        <x:v>2</x:v>
      </x:c>
      <x:c r="D336" s="108" t="str">
        <x:v>safeThresholdExceeded</x:v>
      </x:c>
      <x:c r="E336" s="125" t="str">
        <x:v>false</x:v>
      </x:c>
      <x:c r="F336" s="125" t="str">
        <x:v>false</x:v>
      </x:c>
      <x:c r="G336" s="125" t="str"/>
      <x:c r="H336" s="108" t="str">
        <x:v>PASS</x:v>
      </x:c>
    </x:row>
    <x:row r="337">
      <x:c r="A337" s="108" t="n">
        <x:v>10</x:v>
      </x:c>
      <x:c r="B337" s="108" t="n">
        <x:v>2</x:v>
      </x:c>
      <x:c r="C337" s="108" t="n">
        <x:v>2</x:v>
      </x:c>
      <x:c r="D337" s="108" t="str">
        <x:v>sequence</x:v>
      </x:c>
      <x:c r="E337" s="125" t="str">
        <x:v>10</x:v>
      </x:c>
      <x:c r="F337" s="125" t="str">
        <x:v>10</x:v>
      </x:c>
      <x:c r="G337" s="125" t="n">
        <x:v>0</x:v>
      </x:c>
      <x:c r="H337" s="108" t="str">
        <x:v>PASS</x:v>
      </x:c>
    </x:row>
    <x:row r="338">
      <x:c r="A338" s="108" t="n">
        <x:v>10</x:v>
      </x:c>
      <x:c r="B338" s="108" t="n">
        <x:v>2</x:v>
      </x:c>
      <x:c r="C338" s="108" t="n">
        <x:v>2</x:v>
      </x:c>
      <x:c r="D338" s="108" t="str">
        <x:v>job</x:v>
      </x:c>
      <x:c r="E338" s="125" t="str">
        <x:v>2</x:v>
      </x:c>
      <x:c r="F338" s="125" t="str">
        <x:v>2</x:v>
      </x:c>
      <x:c r="G338" s="125" t="n">
        <x:v>0</x:v>
      </x:c>
      <x:c r="H338" s="108" t="str">
        <x:v>PASS</x:v>
      </x:c>
    </x:row>
    <x:row r="339">
      <x:c r="A339" s="108" t="n">
        <x:v>10</x:v>
      </x:c>
      <x:c r="B339" s="108" t="n">
        <x:v>2</x:v>
      </x:c>
      <x:c r="C339" s="108" t="n">
        <x:v>2</x:v>
      </x:c>
      <x:c r="D339" s="108" t="str">
        <x:v>stage</x:v>
      </x:c>
      <x:c r="E339" s="125" t="str">
        <x:v>2</x:v>
      </x:c>
      <x:c r="F339" s="125" t="str">
        <x:v>2</x:v>
      </x:c>
      <x:c r="G339" s="125" t="n">
        <x:v>0</x:v>
      </x:c>
      <x:c r="H339" s="108" t="str">
        <x:v>PASS</x:v>
      </x:c>
    </x:row>
    <x:row r="340">
      <x:c r="A340" s="108" t="n">
        <x:v>10</x:v>
      </x:c>
      <x:c r="B340" s="108" t="n">
        <x:v>2</x:v>
      </x:c>
      <x:c r="C340" s="108" t="n">
        <x:v>2</x:v>
      </x:c>
      <x:c r="D340" s="108" t="str">
        <x:v>factory</x:v>
      </x:c>
      <x:c r="E340" s="125" t="str">
        <x:v>2</x:v>
      </x:c>
      <x:c r="F340" s="125" t="str">
        <x:v>2</x:v>
      </x:c>
      <x:c r="G340" s="125" t="n">
        <x:v>0</x:v>
      </x:c>
      <x:c r="H340" s="108" t="str">
        <x:v>PASS</x:v>
      </x:c>
    </x:row>
    <x:row r="341">
      <x:c r="A341" s="108" t="n">
        <x:v>10</x:v>
      </x:c>
      <x:c r="B341" s="108" t="n">
        <x:v>2</x:v>
      </x:c>
      <x:c r="C341" s="108" t="n">
        <x:v>2</x:v>
      </x:c>
      <x:c r="D341" s="108" t="str">
        <x:v>machine</x:v>
      </x:c>
      <x:c r="E341" s="125" t="str">
        <x:v>2</x:v>
      </x:c>
      <x:c r="F341" s="125" t="str">
        <x:v>2</x:v>
      </x:c>
      <x:c r="G341" s="125" t="n">
        <x:v>0</x:v>
      </x:c>
      <x:c r="H341" s="108" t="str">
        <x:v>PASS</x:v>
      </x:c>
    </x:row>
    <x:row r="342">
      <x:c r="A342" s="108" t="n">
        <x:v>10</x:v>
      </x:c>
      <x:c r="B342" s="108" t="n">
        <x:v>2</x:v>
      </x:c>
      <x:c r="C342" s="108" t="n">
        <x:v>2</x:v>
      </x:c>
      <x:c r="D342" s="108" t="str">
        <x:v>worker</x:v>
      </x:c>
      <x:c r="E342" s="125" t="str">
        <x:v>4</x:v>
      </x:c>
      <x:c r="F342" s="125" t="str">
        <x:v>4</x:v>
      </x:c>
      <x:c r="G342" s="125" t="n">
        <x:v>0</x:v>
      </x:c>
      <x:c r="H342" s="108" t="str">
        <x:v>PASS</x:v>
      </x:c>
    </x:row>
    <x:row r="343">
      <x:c r="A343" s="108" t="n">
        <x:v>10</x:v>
      </x:c>
      <x:c r="B343" s="108" t="n">
        <x:v>2</x:v>
      </x:c>
      <x:c r="C343" s="108" t="n">
        <x:v>2</x:v>
      </x:c>
      <x:c r="D343" s="108" t="str">
        <x:v>predecessorCompletion</x:v>
      </x:c>
      <x:c r="E343" s="125" t="str">
        <x:v>19.609284913500886</x:v>
      </x:c>
      <x:c r="F343" s="125" t="str">
        <x:v>19.609284913500886</x:v>
      </x:c>
      <x:c r="G343" s="125" t="n">
        <x:v>0</x:v>
      </x:c>
      <x:c r="H343" s="108" t="str">
        <x:v>PASS</x:v>
      </x:c>
    </x:row>
    <x:row r="344">
      <x:c r="A344" s="108" t="n">
        <x:v>10</x:v>
      </x:c>
      <x:c r="B344" s="108" t="n">
        <x:v>2</x:v>
      </x:c>
      <x:c r="C344" s="108" t="n">
        <x:v>2</x:v>
      </x:c>
      <x:c r="D344" s="108" t="str">
        <x:v>machineAvailableBefore</x:v>
      </x:c>
      <x:c r="E344" s="125" t="str">
        <x:v>0</x:v>
      </x:c>
      <x:c r="F344" s="125" t="str">
        <x:v>0.0000000000000000</x:v>
      </x:c>
      <x:c r="G344" s="125" t="n">
        <x:v>0</x:v>
      </x:c>
      <x:c r="H344" s="108" t="str">
        <x:v>PASS</x:v>
      </x:c>
    </x:row>
    <x:row r="345">
      <x:c r="A345" s="108" t="n">
        <x:v>10</x:v>
      </x:c>
      <x:c r="B345" s="108" t="n">
        <x:v>2</x:v>
      </x:c>
      <x:c r="C345" s="108" t="n">
        <x:v>2</x:v>
      </x:c>
      <x:c r="D345" s="108" t="str">
        <x:v>workerAvailableBefore</x:v>
      </x:c>
      <x:c r="E345" s="125" t="str">
        <x:v>17.612648221343875</x:v>
      </x:c>
      <x:c r="F345" s="125" t="str">
        <x:v>17.612648221343875</x:v>
      </x:c>
      <x:c r="G345" s="125" t="n">
        <x:v>0</x:v>
      </x:c>
      <x:c r="H345" s="108" t="str">
        <x:v>PASS</x:v>
      </x:c>
    </x:row>
    <x:row r="346">
      <x:c r="A346" s="108" t="n">
        <x:v>10</x:v>
      </x:c>
      <x:c r="B346" s="108" t="n">
        <x:v>2</x:v>
      </x:c>
      <x:c r="C346" s="108" t="n">
        <x:v>2</x:v>
      </x:c>
      <x:c r="D346" s="108" t="str">
        <x:v>start</x:v>
      </x:c>
      <x:c r="E346" s="125" t="str">
        <x:v>19.609284913500886</x:v>
      </x:c>
      <x:c r="F346" s="125" t="str">
        <x:v>19.609284913500886</x:v>
      </x:c>
      <x:c r="G346" s="125" t="n">
        <x:v>0</x:v>
      </x:c>
      <x:c r="H346" s="108" t="str">
        <x:v>PASS</x:v>
      </x:c>
    </x:row>
    <x:row r="347">
      <x:c r="A347" s="108" t="n">
        <x:v>10</x:v>
      </x:c>
      <x:c r="B347" s="108" t="n">
        <x:v>2</x:v>
      </x:c>
      <x:c r="C347" s="108" t="n">
        <x:v>2</x:v>
      </x:c>
      <x:c r="D347" s="108" t="str">
        <x:v>recoveryDuration</x:v>
      </x:c>
      <x:c r="E347" s="125" t="str">
        <x:v>1.9966366921570113</x:v>
      </x:c>
      <x:c r="F347" s="125" t="str">
        <x:v>1.9966366921570113</x:v>
      </x:c>
      <x:c r="G347" s="125" t="n">
        <x:v>0</x:v>
      </x:c>
      <x:c r="H347" s="108" t="str">
        <x:v>PASS</x:v>
      </x:c>
    </x:row>
    <x:row r="348">
      <x:c r="A348" s="108" t="n">
        <x:v>10</x:v>
      </x:c>
      <x:c r="B348" s="108" t="n">
        <x:v>2</x:v>
      </x:c>
      <x:c r="C348" s="108" t="n">
        <x:v>2</x:v>
      </x:c>
      <x:c r="D348" s="108" t="str">
        <x:v>fatigueBeforeRecovery</x:v>
      </x:c>
      <x:c r="E348" s="125" t="str">
        <x:v>0.12110593754654357</x:v>
      </x:c>
      <x:c r="F348" s="125" t="str">
        <x:v>0.12110593754654357</x:v>
      </x:c>
      <x:c r="G348" s="125" t="n">
        <x:v>0</x:v>
      </x:c>
      <x:c r="H348" s="108" t="str">
        <x:v>PASS</x:v>
      </x:c>
    </x:row>
    <x:row r="349">
      <x:c r="A349" s="108" t="n">
        <x:v>10</x:v>
      </x:c>
      <x:c r="B349" s="108" t="n">
        <x:v>2</x:v>
      </x:c>
      <x:c r="C349" s="108" t="n">
        <x:v>2</x:v>
      </x:c>
      <x:c r="D349" s="108" t="str">
        <x:v>fatigueAtStart</x:v>
      </x:c>
      <x:c r="E349" s="125" t="str">
        <x:v>0.10959961315073387</x:v>
      </x:c>
      <x:c r="F349" s="125" t="str">
        <x:v>0.10959961315073388</x:v>
      </x:c>
      <x:c r="G349" s="125" t="n">
        <x:v>1.3877787807814457e-17</x:v>
      </x:c>
      <x:c r="H349" s="108" t="str">
        <x:v>PASS</x:v>
      </x:c>
    </x:row>
    <x:row r="350">
      <x:c r="A350" s="108" t="n">
        <x:v>10</x:v>
      </x:c>
      <x:c r="B350" s="108" t="n">
        <x:v>2</x:v>
      </x:c>
      <x:c r="C350" s="108" t="n">
        <x:v>2</x:v>
      </x:c>
      <x:c r="D350" s="108" t="str">
        <x:v>ST</x:v>
      </x:c>
      <x:c r="E350" s="125" t="str">
        <x:v>8</x:v>
      </x:c>
      <x:c r="F350" s="125" t="str">
        <x:v>8</x:v>
      </x:c>
      <x:c r="G350" s="125" t="n">
        <x:v>0</x:v>
      </x:c>
      <x:c r="H350" s="108" t="str">
        <x:v>PASS</x:v>
      </x:c>
    </x:row>
    <x:row r="351">
      <x:c r="A351" s="108" t="n">
        <x:v>10</x:v>
      </x:c>
      <x:c r="B351" s="108" t="n">
        <x:v>2</x:v>
      </x:c>
      <x:c r="C351" s="108" t="n">
        <x:v>2</x:v>
      </x:c>
      <x:c r="D351" s="108" t="str">
        <x:v>SUT</x:v>
      </x:c>
      <x:c r="E351" s="125" t="str">
        <x:v>2</x:v>
      </x:c>
      <x:c r="F351" s="125" t="str">
        <x:v>2</x:v>
      </x:c>
      <x:c r="G351" s="125" t="n">
        <x:v>0</x:v>
      </x:c>
      <x:c r="H351" s="108" t="str">
        <x:v>PASS</x:v>
      </x:c>
    </x:row>
    <x:row r="352">
      <x:c r="A352" s="108" t="n">
        <x:v>10</x:v>
      </x:c>
      <x:c r="B352" s="108" t="n">
        <x:v>2</x:v>
      </x:c>
      <x:c r="C352" s="108" t="n">
        <x:v>2</x:v>
      </x:c>
      <x:c r="D352" s="108" t="str">
        <x:v>machineSpeed</x:v>
      </x:c>
      <x:c r="E352" s="125" t="str">
        <x:v>1.25</x:v>
      </x:c>
      <x:c r="F352" s="125" t="str">
        <x:v>1.2500000000000000</x:v>
      </x:c>
      <x:c r="G352" s="125" t="n">
        <x:v>0</x:v>
      </x:c>
      <x:c r="H352" s="108" t="str">
        <x:v>PASS</x:v>
      </x:c>
    </x:row>
    <x:row r="353">
      <x:c r="A353" s="108" t="n">
        <x:v>10</x:v>
      </x:c>
      <x:c r="B353" s="108" t="n">
        <x:v>2</x:v>
      </x:c>
      <x:c r="C353" s="108" t="n">
        <x:v>2</x:v>
      </x:c>
      <x:c r="D353" s="108" t="str">
        <x:v>machinePower</x:v>
      </x:c>
      <x:c r="E353" s="125" t="str">
        <x:v>8</x:v>
      </x:c>
      <x:c r="F353" s="125" t="str">
        <x:v>8</x:v>
      </x:c>
      <x:c r="G353" s="125" t="n">
        <x:v>0</x:v>
      </x:c>
      <x:c r="H353" s="108" t="str">
        <x:v>PASS</x:v>
      </x:c>
    </x:row>
    <x:row r="354">
      <x:c r="A354" s="108" t="n">
        <x:v>10</x:v>
      </x:c>
      <x:c r="B354" s="108" t="n">
        <x:v>2</x:v>
      </x:c>
      <x:c r="C354" s="108" t="n">
        <x:v>2</x:v>
      </x:c>
      <x:c r="D354" s="108" t="str">
        <x:v>workerEfficiency</x:v>
      </x:c>
      <x:c r="E354" s="125" t="str">
        <x:v>1.1499999999999999</x:v>
      </x:c>
      <x:c r="F354" s="125" t="str">
        <x:v>1.1500000000000000</x:v>
      </x:c>
      <x:c r="G354" s="125" t="n">
        <x:v>0</x:v>
      </x:c>
      <x:c r="H354" s="108" t="str">
        <x:v>PASS</x:v>
      </x:c>
    </x:row>
    <x:row r="355">
      <x:c r="A355" s="108" t="n">
        <x:v>10</x:v>
      </x:c>
      <x:c r="B355" s="108" t="n">
        <x:v>2</x:v>
      </x:c>
      <x:c r="C355" s="108" t="n">
        <x:v>2</x:v>
      </x:c>
      <x:c r="D355" s="108" t="str">
        <x:v>workerCost</x:v>
      </x:c>
      <x:c r="E355" s="125" t="str">
        <x:v>12</x:v>
      </x:c>
      <x:c r="F355" s="125" t="str">
        <x:v>12</x:v>
      </x:c>
      <x:c r="G355" s="125" t="n">
        <x:v>0</x:v>
      </x:c>
      <x:c r="H355" s="108" t="str">
        <x:v>PASS</x:v>
      </x:c>
    </x:row>
    <x:row r="356">
      <x:c r="A356" s="108" t="n">
        <x:v>10</x:v>
      </x:c>
      <x:c r="B356" s="108" t="n">
        <x:v>2</x:v>
      </x:c>
      <x:c r="C356" s="108" t="n">
        <x:v>2</x:v>
      </x:c>
      <x:c r="D356" s="108" t="str">
        <x:v>lambda</x:v>
      </x:c>
      <x:c r="E356" s="125" t="str">
        <x:v>0.023</x:v>
      </x:c>
      <x:c r="F356" s="125" t="str">
        <x:v>0.023000000000000000</x:v>
      </x:c>
      <x:c r="G356" s="125" t="n">
        <x:v>0</x:v>
      </x:c>
      <x:c r="H356" s="108" t="str">
        <x:v>PASS</x:v>
      </x:c>
    </x:row>
    <x:row r="357">
      <x:c r="A357" s="108" t="n">
        <x:v>10</x:v>
      </x:c>
      <x:c r="B357" s="108" t="n">
        <x:v>2</x:v>
      </x:c>
      <x:c r="C357" s="108" t="n">
        <x:v>2</x:v>
      </x:c>
      <x:c r="D357" s="108" t="str">
        <x:v>muCurrentStage</x:v>
      </x:c>
      <x:c r="E357" s="125" t="str">
        <x:v>0.050000000000000003</x:v>
      </x:c>
      <x:c r="F357" s="125" t="str">
        <x:v>0.050000000000000000</x:v>
      </x:c>
      <x:c r="G357" s="125" t="n">
        <x:v>0</x:v>
      </x:c>
      <x:c r="H357" s="108" t="str">
        <x:v>PASS</x:v>
      </x:c>
    </x:row>
    <x:row r="358">
      <x:c r="A358" s="108" t="n">
        <x:v>10</x:v>
      </x:c>
      <x:c r="B358" s="108" t="n">
        <x:v>2</x:v>
      </x:c>
      <x:c r="C358" s="108" t="n">
        <x:v>2</x:v>
      </x:c>
      <x:c r="D358" s="108" t="str">
        <x:v>recoveryMu</x:v>
      </x:c>
      <x:c r="E358" s="125" t="str">
        <x:v>0.050000000000000003</x:v>
      </x:c>
      <x:c r="F358" s="125" t="str">
        <x:v>0.050000000000000000</x:v>
      </x:c>
      <x:c r="G358" s="125" t="n">
        <x:v>0</x:v>
      </x:c>
      <x:c r="H358" s="108" t="str">
        <x:v>PASS</x:v>
      </x:c>
    </x:row>
    <x:row r="359">
      <x:c r="A359" s="108" t="n">
        <x:v>10</x:v>
      </x:c>
      <x:c r="B359" s="108" t="n">
        <x:v>2</x:v>
      </x:c>
      <x:c r="C359" s="108" t="n">
        <x:v>2</x:v>
      </x:c>
      <x:c r="D359" s="108" t="str">
        <x:v>r</x:v>
      </x:c>
      <x:c r="E359" s="125" t="str">
        <x:v>0.29999999999999999</x:v>
      </x:c>
      <x:c r="F359" s="125" t="str">
        <x:v>0.30000000000000000</x:v>
      </x:c>
      <x:c r="G359" s="125" t="n">
        <x:v>0</x:v>
      </x:c>
      <x:c r="H359" s="108" t="str">
        <x:v>PASS</x:v>
      </x:c>
    </x:row>
    <x:row r="360">
      <x:c r="A360" s="108" t="n">
        <x:v>10</x:v>
      </x:c>
      <x:c r="B360" s="108" t="n">
        <x:v>2</x:v>
      </x:c>
      <x:c r="C360" s="108" t="n">
        <x:v>2</x:v>
      </x:c>
      <x:c r="D360" s="108" t="str">
        <x:v>delta</x:v>
      </x:c>
      <x:c r="E360" s="125" t="str">
        <x:v>18.817761402899524</x:v>
      </x:c>
      <x:c r="F360" s="125" t="str">
        <x:v>18.817761402899524</x:v>
      </x:c>
      <x:c r="G360" s="125" t="n">
        <x:v>0</x:v>
      </x:c>
      <x:c r="H360" s="108" t="str">
        <x:v>PASS</x:v>
      </x:c>
    </x:row>
    <x:row r="361">
      <x:c r="A361" s="108" t="n">
        <x:v>10</x:v>
      </x:c>
      <x:c r="B361" s="108" t="n">
        <x:v>2</x:v>
      </x:c>
      <x:c r="C361" s="108" t="n">
        <x:v>2</x:v>
      </x:c>
      <x:c r="D361" s="108" t="str">
        <x:v>baseProcessing</x:v>
      </x:c>
      <x:c r="E361" s="125" t="str">
        <x:v>5.5652173913043477</x:v>
      </x:c>
      <x:c r="F361" s="125" t="str">
        <x:v>5.5652173913043480</x:v>
      </x:c>
      <x:c r="G361" s="125" t="n">
        <x:v>0</x:v>
      </x:c>
      <x:c r="H361" s="108" t="str">
        <x:v>PASS</x:v>
      </x:c>
    </x:row>
    <x:row r="362">
      <x:c r="A362" s="108" t="n">
        <x:v>10</x:v>
      </x:c>
      <x:c r="B362" s="108" t="n">
        <x:v>2</x:v>
      </x:c>
      <x:c r="C362" s="108" t="n">
        <x:v>2</x:v>
      </x:c>
      <x:c r="D362" s="108" t="str">
        <x:v>baseSetup</x:v>
      </x:c>
      <x:c r="E362" s="125" t="str">
        <x:v>1.7391304347826089</x:v>
      </x:c>
      <x:c r="F362" s="125" t="str">
        <x:v>1.7391304347826089</x:v>
      </x:c>
      <x:c r="G362" s="125" t="n">
        <x:v>0</x:v>
      </x:c>
      <x:c r="H362" s="108" t="str">
        <x:v>PASS</x:v>
      </x:c>
    </x:row>
    <x:row r="363">
      <x:c r="A363" s="108" t="n">
        <x:v>10</x:v>
      </x:c>
      <x:c r="B363" s="108" t="n">
        <x:v>2</x:v>
      </x:c>
      <x:c r="C363" s="108" t="n">
        <x:v>2</x:v>
      </x:c>
      <x:c r="D363" s="108" t="str">
        <x:v>baseAT</x:v>
      </x:c>
      <x:c r="E363" s="125" t="str">
        <x:v>7.304347826086957</x:v>
      </x:c>
      <x:c r="F363" s="125" t="str">
        <x:v>7.3043478260869570</x:v>
      </x:c>
      <x:c r="G363" s="125" t="n">
        <x:v>0</x:v>
      </x:c>
      <x:c r="H363" s="108" t="str">
        <x:v>PASS</x:v>
      </x:c>
    </x:row>
    <x:row r="364">
      <x:c r="A364" s="108" t="n">
        <x:v>10</x:v>
      </x:c>
      <x:c r="B364" s="108" t="n">
        <x:v>2</x:v>
      </x:c>
      <x:c r="C364" s="108" t="n">
        <x:v>2</x:v>
      </x:c>
      <x:c r="D364" s="108" t="str">
        <x:v>fatigueMultiplier</x:v>
      </x:c>
      <x:c r="E364" s="125" t="str">
        <x:v>1.0450117569385144</x:v>
      </x:c>
      <x:c r="F364" s="125" t="str">
        <x:v>1.0450117569385144</x:v>
      </x:c>
      <x:c r="G364" s="125" t="n">
        <x:v>0</x:v>
      </x:c>
      <x:c r="H364" s="108" t="str">
        <x:v>PASS</x:v>
      </x:c>
    </x:row>
    <x:row r="365">
      <x:c r="A365" s="108" t="n">
        <x:v>10</x:v>
      </x:c>
      <x:c r="B365" s="108" t="n">
        <x:v>2</x:v>
      </x:c>
      <x:c r="C365" s="108" t="n">
        <x:v>2</x:v>
      </x:c>
      <x:c r="D365" s="108" t="str">
        <x:v>actualProcessing</x:v>
      </x:c>
      <x:c r="E365" s="125" t="str">
        <x:v>5.8157176038317324</x:v>
      </x:c>
      <x:c r="F365" s="125" t="str">
        <x:v>5.8157176038317320</x:v>
      </x:c>
      <x:c r="G365" s="125" t="n">
        <x:v>0</x:v>
      </x:c>
      <x:c r="H365" s="108" t="str">
        <x:v>PASS</x:v>
      </x:c>
    </x:row>
    <x:row r="366">
      <x:c r="A366" s="108" t="n">
        <x:v>10</x:v>
      </x:c>
      <x:c r="B366" s="108" t="n">
        <x:v>2</x:v>
      </x:c>
      <x:c r="C366" s="108" t="n">
        <x:v>2</x:v>
      </x:c>
      <x:c r="D366" s="108" t="str">
        <x:v>actualSetup</x:v>
      </x:c>
      <x:c r="E366" s="125" t="str">
        <x:v>1.8174117511974166</x:v>
      </x:c>
      <x:c r="F366" s="125" t="str">
        <x:v>1.8174117511974166</x:v>
      </x:c>
      <x:c r="G366" s="125" t="n">
        <x:v>0</x:v>
      </x:c>
      <x:c r="H366" s="108" t="str">
        <x:v>PASS</x:v>
      </x:c>
    </x:row>
    <x:row r="367">
      <x:c r="A367" s="108" t="n">
        <x:v>10</x:v>
      </x:c>
      <x:c r="B367" s="108" t="n">
        <x:v>2</x:v>
      </x:c>
      <x:c r="C367" s="108" t="n">
        <x:v>2</x:v>
      </x:c>
      <x:c r="D367" s="108" t="str">
        <x:v>actualAT</x:v>
      </x:c>
      <x:c r="E367" s="125" t="str">
        <x:v>7.6331293550291495</x:v>
      </x:c>
      <x:c r="F367" s="125" t="str">
        <x:v>7.6331293550291495</x:v>
      </x:c>
      <x:c r="G367" s="125" t="n">
        <x:v>0</x:v>
      </x:c>
      <x:c r="H367" s="108" t="str">
        <x:v>PASS</x:v>
      </x:c>
    </x:row>
    <x:row r="368">
      <x:c r="A368" s="108" t="n">
        <x:v>10</x:v>
      </x:c>
      <x:c r="B368" s="108" t="n">
        <x:v>2</x:v>
      </x:c>
      <x:c r="C368" s="108" t="n">
        <x:v>2</x:v>
      </x:c>
      <x:c r="D368" s="108" t="str">
        <x:v>end</x:v>
      </x:c>
      <x:c r="E368" s="125" t="str">
        <x:v>27.242414268530034</x:v>
      </x:c>
      <x:c r="F368" s="125" t="str">
        <x:v>27.242414268530034</x:v>
      </x:c>
      <x:c r="G368" s="125" t="n">
        <x:v>0</x:v>
      </x:c>
      <x:c r="H368" s="108" t="str">
        <x:v>PASS</x:v>
      </x:c>
    </x:row>
    <x:row r="369">
      <x:c r="A369" s="108" t="n">
        <x:v>10</x:v>
      </x:c>
      <x:c r="B369" s="108" t="n">
        <x:v>2</x:v>
      </x:c>
      <x:c r="C369" s="108" t="n">
        <x:v>2</x:v>
      </x:c>
      <x:c r="D369" s="108" t="str">
        <x:v>fatigueAfter</x:v>
      </x:c>
      <x:c r="E369" s="125" t="str">
        <x:v>0.25296707589965572</x:v>
      </x:c>
      <x:c r="F369" s="125" t="str">
        <x:v>0.25296707589965570</x:v>
      </x:c>
      <x:c r="G369" s="125" t="n">
        <x:v>0</x:v>
      </x:c>
      <x:c r="H369" s="108" t="str">
        <x:v>PASS</x:v>
      </x:c>
    </x:row>
    <x:row r="370">
      <x:c r="A370" s="108" t="n">
        <x:v>10</x:v>
      </x:c>
      <x:c r="B370" s="108" t="n">
        <x:v>2</x:v>
      </x:c>
      <x:c r="C370" s="108" t="n">
        <x:v>2</x:v>
      </x:c>
      <x:c r="D370" s="108" t="str">
        <x:v>machineIdle</x:v>
      </x:c>
      <x:c r="E370" s="125" t="str">
        <x:v>0</x:v>
      </x:c>
      <x:c r="F370" s="125" t="str">
        <x:v>0.0000000000000000</x:v>
      </x:c>
      <x:c r="G370" s="125" t="n">
        <x:v>0</x:v>
      </x:c>
      <x:c r="H370" s="108" t="str">
        <x:v>PASS</x:v>
      </x:c>
    </x:row>
    <x:row r="371">
      <x:c r="A371" s="108" t="n">
        <x:v>10</x:v>
      </x:c>
      <x:c r="B371" s="108" t="n">
        <x:v>2</x:v>
      </x:c>
      <x:c r="C371" s="108" t="n">
        <x:v>2</x:v>
      </x:c>
      <x:c r="D371" s="108" t="str">
        <x:v>energy</x:v>
      </x:c>
      <x:c r="E371" s="125" t="str">
        <x:v>61.065034840233196</x:v>
      </x:c>
      <x:c r="F371" s="125" t="str">
        <x:v>61.065034840233196</x:v>
      </x:c>
      <x:c r="G371" s="125" t="n">
        <x:v>0</x:v>
      </x:c>
      <x:c r="H371" s="108" t="str">
        <x:v>PASS</x:v>
      </x:c>
    </x:row>
    <x:row r="372">
      <x:c r="A372" s="108" t="n">
        <x:v>10</x:v>
      </x:c>
      <x:c r="B372" s="108" t="n">
        <x:v>2</x:v>
      </x:c>
      <x:c r="C372" s="108" t="n">
        <x:v>2</x:v>
      </x:c>
      <x:c r="D372" s="108" t="str">
        <x:v>cost</x:v>
      </x:c>
      <x:c r="E372" s="125" t="str">
        <x:v>91.597552260349801</x:v>
      </x:c>
      <x:c r="F372" s="125" t="str">
        <x:v>91.597552260349800</x:v>
      </x:c>
      <x:c r="G372" s="125" t="n">
        <x:v>0</x:v>
      </x:c>
      <x:c r="H372" s="108" t="str">
        <x:v>PASS</x:v>
      </x:c>
    </x:row>
    <x:row r="373">
      <x:c r="A373" s="108" t="n">
        <x:v>10</x:v>
      </x:c>
      <x:c r="B373" s="108" t="n">
        <x:v>2</x:v>
      </x:c>
      <x:c r="C373" s="108" t="n">
        <x:v>2</x:v>
      </x:c>
      <x:c r="D373" s="108" t="str">
        <x:v>safeThresholdExceeded</x:v>
      </x:c>
      <x:c r="E373" s="125" t="str">
        <x:v>false</x:v>
      </x:c>
      <x:c r="F373" s="125" t="str">
        <x:v>false</x:v>
      </x:c>
      <x:c r="G373" s="125" t="str"/>
      <x:c r="H373" s="108" t="str">
        <x:v>PASS</x:v>
      </x:c>
    </x:row>
  </x:sheetData>
  <x:mergeCells>
    <x:mergeCell ref="A1:H1"/>
  </x:mergeCells>
  <x:pageMargins left="0.7" right="0.7" top="0.75" bottom="0.75" header="0.3" footer="0.3"/>
</x:worksheet>
</file>