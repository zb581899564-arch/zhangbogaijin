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ca6d177ba4b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从这里开始" sheetId="1" r:id="R7b858006cfbd447f"/>
    <x:sheet xmlns:r="http://schemas.openxmlformats.org/officeDocument/2006/relationships" name="当前规则" sheetId="2" r:id="R6fe62ae76b7e4b54"/>
    <x:sheet xmlns:r="http://schemas.openxmlformats.org/officeDocument/2006/relationships" name="输入_工件" sheetId="3" r:id="R91f95bd0bcf14137"/>
    <x:sheet xmlns:r="http://schemas.openxmlformats.org/officeDocument/2006/relationships" name="输入_机器" sheetId="4" r:id="R30877039c24344cb"/>
    <x:sheet xmlns:r="http://schemas.openxmlformats.org/officeDocument/2006/relationships" name="输入_工人" sheetId="5" r:id="Rdb35aeac53b145a6"/>
    <x:sheet xmlns:r="http://schemas.openxmlformats.org/officeDocument/2006/relationships" name="粒子X0解码" sheetId="6" r:id="R9b5beae8e9444d33"/>
    <x:sheet xmlns:r="http://schemas.openxmlformats.org/officeDocument/2006/relationships" name="第一道工序练习" sheetId="7" r:id="R0463d1b7c8f245f2"/>
    <x:sheet xmlns:r="http://schemas.openxmlformats.org/officeDocument/2006/relationships" name="排程时间线" sheetId="8" r:id="Ra64bbcedd8a44985"/>
    <x:sheet xmlns:r="http://schemas.openxmlformats.org/officeDocument/2006/relationships" name="阶段2候选比较" sheetId="9" r:id="R15c2cea25b7d40f7"/>
    <x:sheet xmlns:r="http://schemas.openxmlformats.org/officeDocument/2006/relationships" name="工时疲劳能耗" sheetId="10" r:id="R75440fb43c42457d"/>
    <x:sheet xmlns:r="http://schemas.openxmlformats.org/officeDocument/2006/relationships" name="目标汇总" sheetId="11" r:id="R53882d391d2348be"/>
    <x:sheet xmlns:r="http://schemas.openxmlformats.org/officeDocument/2006/relationships" name="提交检查" sheetId="12" r:id="R0c831714534044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00000"/>
    <x:numFmt numFmtId="201" formatCode="@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9C2F1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5A66"/>
      </x:patternFill>
    </x:fill>
    <x:fill>
      <x:patternFill patternType="solid">
        <x:fgColor rgb="FF2F7F83"/>
      </x:patternFill>
    </x:fill>
    <x:fill>
      <x:patternFill patternType="solid">
        <x:fgColor rgb="FFDCEAF7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0">
    <x:border/>
    <x:border>
      <x:left style="thin">
        <x:color rgb="FFB8C6CC"/>
      </x:left>
      <x:right style="thin">
        <x:color rgb="FFB8C6CC"/>
      </x:right>
      <x:top style="thin">
        <x:color rgb="FFB8C6CC"/>
      </x:top>
      <x:bottom style="thin">
        <x:color rgb="FFB8C6CC"/>
      </x:bottom>
    </x:border>
    <x:border>
      <x:left style="medium">
        <x:color rgb="FFC65911"/>
      </x:left>
      <x:top style="medium">
        <x:color rgb="FFC65911"/>
      </x:top>
    </x:border>
    <x:border>
      <x:top style="medium">
        <x:color rgb="FFC65911"/>
      </x:top>
    </x:border>
    <x:border>
      <x:right style="medium">
        <x:color rgb="FFC65911"/>
      </x:right>
      <x:top style="medium">
        <x:color rgb="FFC65911"/>
      </x:top>
    </x:border>
    <x:border>
      <x:left style="medium">
        <x:color rgb="FFC65911"/>
      </x:left>
    </x:border>
    <x:border>
      <x:right style="medium">
        <x:color rgb="FFC65911"/>
      </x:right>
    </x:border>
    <x:border>
      <x:left style="medium">
        <x:color rgb="FFC65911"/>
      </x:left>
      <x:bottom style="medium">
        <x:color rgb="FFC65911"/>
      </x:bottom>
    </x:border>
    <x:border>
      <x:bottom style="medium">
        <x:color rgb="FFC65911"/>
      </x:bottom>
    </x:border>
    <x:border>
      <x:right style="medium">
        <x:color rgb="FFC65911"/>
      </x:right>
      <x:bottom style="medium">
        <x:color rgb="FFC6591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horizontal="center" wrapText="1"/>
    </x:xf>
    <x:xf numFmtId="0" fontId="4" fillId="6" borderId="3" xfId="0" applyNumberFormat="1" applyFont="1" applyFill="1" applyBorder="1" applyAlignment="1">
      <x:alignment horizontal="center" wrapText="1"/>
    </x:xf>
    <x:xf numFmtId="0" fontId="4" fillId="6" borderId="4" xfId="0" applyNumberFormat="1" applyFont="1" applyFill="1" applyBorder="1" applyAlignment="1">
      <x:alignment horizontal="center" wrapText="1"/>
    </x:xf>
    <x:xf numFmtId="0" fontId="4" fillId="6" borderId="5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6" xfId="0" applyNumberFormat="1" applyFont="1" applyFill="1" applyBorder="1" applyAlignment="1">
      <x:alignment horizontal="center" wrapText="1"/>
    </x:xf>
    <x:xf numFmtId="0" fontId="4" fillId="6" borderId="7" xfId="0" applyNumberFormat="1" applyFont="1" applyFill="1" applyBorder="1" applyAlignment="1">
      <x:alignment horizontal="center" wrapText="1"/>
    </x:xf>
    <x:xf numFmtId="0" fontId="4" fillId="6" borderId="8" xfId="0" applyNumberFormat="1" applyFont="1" applyFill="1" applyBorder="1" applyAlignment="1">
      <x:alignment horizontal="center" wrapText="1"/>
    </x:xf>
    <x:xf numFmtId="0" fontId="4" fillId="6" borderId="9" xfId="0" applyNumberFormat="1" applyFont="1" applyFill="1" applyBorder="1" applyAlignment="1">
      <x:alignment horizont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6" xfId="0" applyNumberFormat="1" applyFont="1" applyFill="1" applyBorder="1" applyAlignment="1">
      <x:alignment horizontal="center" vertical="center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0" fontId="4" fillId="6" borderId="8" xfId="0" applyNumberFormat="1" applyFont="1" applyFill="1" applyBorder="1" applyAlignment="1">
      <x:alignment horizontal="center" vertical="center" wrapText="1"/>
    </x:xf>
    <x:xf numFmtId="0" fontId="4" fillId="6" borderId="9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5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5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5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200" fontId="3" fillId="4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vertical="center" wrapText="1"/>
    </x:xf>
    <x:xf numFmtId="200" fontId="3" fillId="7" borderId="1" xfId="0" applyNumberFormat="1" applyFont="1" applyFill="1" applyBorder="1" applyAlignment="1">
      <x:alignment vertical="center" wrapText="1"/>
    </x:xf>
    <x:xf numFmtId="201" fontId="3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7" borderId="0" xfId="0" applyNumberFormat="1" applyFont="1" applyFill="1" applyBorder="1"/>
    <x:xf numFmtId="201" fontId="3" fillId="7" borderId="0" xfId="0" applyNumberFormat="1" applyFont="1" applyFill="1" applyBorder="1"/>
    <x:xf numFmtId="201" fontId="3" fillId="7" borderId="1" xfId="0" applyNumberFormat="1" applyFont="1" applyFill="1" applyBorder="1"/>
    <x:xf numFmtId="201" fontId="3" fillId="7" borderId="1" xfId="0" applyNumberFormat="1" applyFont="1" applyFill="1" applyBorder="1" applyAlignment="1">
      <x:alignment wrapText="1"/>
    </x:xf>
    <x:xf numFmtId="200" fontId="3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1e86e28bf7464f" /><Relationship Type="http://schemas.openxmlformats.org/officeDocument/2006/relationships/theme" Target="/xl/theme/theme1.xml" Id="Red727b7522214c39" /><Relationship Type="http://schemas.microsoft.com/office/2022/11/relationships/FeaturePropertyBag" Target="/xl/featurePropertyBag/featurePropertyBag.xml" Id="Rb87183355eab472a" /><Relationship Type="http://schemas.openxmlformats.org/officeDocument/2006/relationships/sharedStrings" Target="/xl/sharedStrings.xml" Id="R83b098d7ddea4865" /><Relationship Type="http://schemas.openxmlformats.org/officeDocument/2006/relationships/worksheet" Target="/xl/worksheets/sheet1.xml" Id="R7b858006cfbd447f" /><Relationship Type="http://schemas.openxmlformats.org/officeDocument/2006/relationships/worksheet" Target="/xl/worksheets/sheet2.xml" Id="R6fe62ae76b7e4b54" /><Relationship Type="http://schemas.openxmlformats.org/officeDocument/2006/relationships/worksheet" Target="/xl/worksheets/sheet3.xml" Id="R91f95bd0bcf14137" /><Relationship Type="http://schemas.openxmlformats.org/officeDocument/2006/relationships/worksheet" Target="/xl/worksheets/sheet4.xml" Id="R30877039c24344cb" /><Relationship Type="http://schemas.openxmlformats.org/officeDocument/2006/relationships/worksheet" Target="/xl/worksheets/sheet5.xml" Id="Rdb35aeac53b145a6" /><Relationship Type="http://schemas.openxmlformats.org/officeDocument/2006/relationships/worksheet" Target="/xl/worksheets/sheet6.xml" Id="R9b5beae8e9444d33" /><Relationship Type="http://schemas.openxmlformats.org/officeDocument/2006/relationships/worksheet" Target="/xl/worksheets/sheet7.xml" Id="R0463d1b7c8f245f2" /><Relationship Type="http://schemas.openxmlformats.org/officeDocument/2006/relationships/worksheet" Target="/xl/worksheets/sheet8.xml" Id="Ra64bbcedd8a44985" /><Relationship Type="http://schemas.openxmlformats.org/officeDocument/2006/relationships/worksheet" Target="/xl/worksheets/sheet9.xml" Id="R15c2cea25b7d40f7" /><Relationship Type="http://schemas.openxmlformats.org/officeDocument/2006/relationships/worksheet" Target="/xl/worksheets/sheet10.xml" Id="R75440fb43c42457d" /><Relationship Type="http://schemas.openxmlformats.org/officeDocument/2006/relationships/worksheet" Target="/xl/worksheets/sheet11.xml" Id="R53882d391d2348be" /><Relationship Type="http://schemas.openxmlformats.org/officeDocument/2006/relationships/worksheet" Target="/xl/worksheets/sheet12.xml" Id="R0c831714534044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52" hidden="0" customWidth="1"/>
    <x:col min="4" max="4" width="18" hidden="0" customWidth="1"/>
    <x:col min="5" max="5" width="38" hidden="0" customWidth="1"/>
    <x:col min="6" max="6" width="22" hidden="0" customWidth="1"/>
    <x:col min="7" max="7" width="4" hidden="0" customWidth="1"/>
    <x:col min="8" max="8" width="4" hidden="0" customWidth="1"/>
  </x:cols>
  <x:sheetData>
    <x:row r="1" ht="30" customHeight="1">
      <x:c r="A1" s="4" t="str">
        <x:v>I0-v35 当前正式FM3解码——本人手算空白表（无程序数值答案）</x:v>
      </x:c>
      <x:c r="B1" s="4" t="str">
        <x:v>I0-v35 当前正式FM3解码——本人手算空白表（无程序数值答案）</x:v>
      </x:c>
      <x:c r="C1" s="4" t="str">
        <x:v>I0-v35 当前正式FM3解码——本人手算空白表（无程序数值答案）</x:v>
      </x:c>
      <x:c r="D1" s="4" t="str">
        <x:v>I0-v35 当前正式FM3解码——本人手算空白表（无程序数值答案）</x:v>
      </x:c>
      <x:c r="E1" s="4" t="str">
        <x:v>I0-v35 当前正式FM3解码——本人手算空白表（无程序数值答案）</x:v>
      </x:c>
      <x:c r="F1" s="4" t="str">
        <x:v>I0-v35 当前正式FM3解码——本人手算空白表（无程序数值答案）</x:v>
      </x:c>
      <x:c r="G1" s="4" t="str">
        <x:v>I0-v35 当前正式FM3解码——本人手算空白表（无程序数值答案）</x:v>
      </x:c>
      <x:c r="H1" s="4" t="str">
        <x:v>I0-v35 当前正式FM3解码——本人手算空白表（无程序数值答案）</x:v>
      </x:c>
    </x:row>
    <x:row r="3">
      <x:c r="A3" s="10" t="str">
        <x:v>项目</x:v>
      </x:c>
      <x:c r="B3" s="10" t="str">
        <x:v>当前冻结值</x:v>
      </x:c>
      <x:c r="D3" s="10" t="str">
        <x:v>颜色</x:v>
      </x:c>
      <x:c r="E3" s="10" t="str">
        <x:v>含义</x:v>
      </x:c>
      <x:c r="F3" s="10" t="str">
        <x:v>你是否填写</x:v>
      </x:c>
    </x:row>
    <x:row r="4">
      <x:c r="A4" s="15" t="str">
        <x:v>实例</x:v>
      </x:c>
      <x:c r="B4" s="20" t="str">
        <x:v>I0-v35：5工件×2工厂×2阶段</x:v>
      </x:c>
      <x:c r="D4" s="20" t="str">
        <x:v>蓝色</x:v>
      </x:c>
      <x:c r="E4" s="20" t="str">
        <x:v>冻结输入或规则</x:v>
      </x:c>
      <x:c r="F4" s="20" t="str">
        <x:v>不填</x:v>
      </x:c>
    </x:row>
    <x:row r="5">
      <x:c r="A5" s="15" t="str">
        <x:v>Decoder</x:v>
      </x:c>
      <x:c r="B5" s="20" t="str">
        <x:v>FM3：疲劳累积 + 自然恢复 + 后续阶段疲劳ECT选工</x:v>
      </x:c>
      <x:c r="D5" s="20" t="str">
        <x:v>黄色</x:v>
      </x:c>
      <x:c r="E5" s="20" t="str">
        <x:v>本人手算区</x:v>
      </x:c>
      <x:c r="F5" s="20" t="str">
        <x:v>填写</x:v>
      </x:c>
    </x:row>
    <x:row r="6">
      <x:c r="A6" s="15" t="str">
        <x:v>设置时间</x:v>
      </x:c>
      <x:c r="B6" s="20" t="str">
        <x:v>SEQUENCE_INDEPENDENT：SUT只由当前工件和阶段决定</x:v>
      </x:c>
      <x:c r="D6" s="20" t="str">
        <x:v>绿色</x:v>
      </x:c>
      <x:c r="E6" s="20" t="str">
        <x:v>只检查你填入数值之间的公式关系</x:v>
      </x:c>
      <x:c r="F6" s="20" t="str">
        <x:v>不提供程序答案</x:v>
      </x:c>
    </x:row>
    <x:row r="7">
      <x:c r="A7" s="15" t="str">
        <x:v>产品族</x:v>
      </x:c>
      <x:c r="B7" s="20" t="str">
        <x:v>DEGENERATE_SINGLE_FAMILY：单产品族退化模式</x:v>
      </x:c>
      <x:c r="D7" s="20" t="str">
        <x:v>灰色</x:v>
      </x:c>
      <x:c r="E7" s="20" t="str">
        <x:v>说明、路径或历史边界</x:v>
      </x:c>
      <x:c r="F7" s="20" t="str">
        <x:v>只读</x:v>
      </x:c>
    </x:row>
    <x:row r="8">
      <x:c r="A8" s="15" t="str">
        <x:v>左移/右移</x:v>
      </x:c>
      <x:c r="B8" s="20" t="str">
        <x:v>ShiftMode=NONE：当前正式解码不执行FCLS/FCRS</x:v>
      </x:c>
      <x:c r="D8" s="20" t="str">
        <x:v>红色</x:v>
      </x:c>
      <x:c r="E8" s="20" t="str">
        <x:v>容易混淆的重要提醒</x:v>
      </x:c>
      <x:c r="F8" s="20" t="str">
        <x:v>认真阅读</x:v>
      </x:c>
    </x:row>
    <x:row r="9">
      <x:c r="A9" s="15" t="str">
        <x:v>粒子</x:v>
      </x:c>
      <x:c r="B9" s="20" t="str">
        <x:v>JS=[3,1,2,4,5]；FA=[1,2,2,1,1]；MA=[1,1,1,1,2]；WA=[1,1,1,2,2]</x:v>
      </x:c>
    </x:row>
    <x:row r="10">
      <x:c r="A10" s="15" t="str">
        <x:v>你要手算</x:v>
      </x:c>
      <x:c r="B10" s="20" t="str">
        <x:v>10道工序的排程、疲劳、动态工时、能耗、成本和Cmax/TEC/TWC</x:v>
      </x:c>
    </x:row>
    <x:row r="11">
      <x:c r="A11" s="15" t="str">
        <x:v>你不用手算</x:v>
      </x:c>
      <x:c r="B11" s="20" t="str">
        <x:v>Qg/Qp、CFVF、DSCR、CA-TA-Lite、PDDR；它们属于算法搜索，不属于单粒子解码</x:v>
      </x:c>
    </x:row>
    <x:row r="12">
      <x:c r="A12" s="15" t="str">
        <x:v>答案状态</x:v>
      </x:c>
      <x:c r="B12" s="20" t="str">
        <x:v>INPUT ONLY：提交前不生成程序开始/结束时间和目标答案</x:v>
      </x:c>
    </x:row>
    <x:row r="13">
      <x:c r="A13" s="15" t="str">
        <x:v>输入SHA-256</x:v>
      </x:c>
      <x:c r="B13" s="20" t="str">
        <x:v>88efa7c0ef6bb1b5f434f592e6ace627ebf1a63cbfabcd5a630894a167e5c9af</x:v>
      </x:c>
    </x:row>
    <x:row r="15">
      <x:c r="A15" s="10" t="str">
        <x:v>顺序</x:v>
      </x:c>
      <x:c r="B15" s="10" t="str">
        <x:v>打开的工作表</x:v>
      </x:c>
      <x:c r="C15" s="10" t="str">
        <x:v>做到什么程度</x:v>
      </x:c>
      <x:c r="D15" s="10" t="str">
        <x:v>完成后</x:v>
      </x:c>
    </x:row>
    <x:row r="16">
      <x:c r="A16" s="15" t="n">
        <x:v>1</x:v>
      </x:c>
      <x:c r="B16" s="15" t="str">
        <x:v>粒子X0解码</x:v>
      </x:c>
      <x:c r="C16" s="15" t="str">
        <x:v>看懂5个位置分别对应哪个工件/工厂/第一阶段机器和工人</x:v>
      </x:c>
      <x:c r="D16" s="15" t="str">
        <x:v>第一道工序练习</x:v>
      </x:c>
    </x:row>
    <x:row r="17">
      <x:c r="A17" s="15" t="n">
        <x:v>2</x:v>
      </x:c>
      <x:c r="B17" s="15" t="str">
        <x:v>第一道工序练习</x:v>
      </x:c>
      <x:c r="C17" s="15" t="str">
        <x:v>只算J3-S1，直到所有绿色检查为PASS</x:v>
      </x:c>
      <x:c r="D17" s="15" t="str">
        <x:v>排程时间线</x:v>
      </x:c>
    </x:row>
    <x:row r="18">
      <x:c r="A18" s="15" t="n">
        <x:v>3</x:v>
      </x:c>
      <x:c r="B18" s="15" t="str">
        <x:v>排程时间线</x:v>
      </x:c>
      <x:c r="C18" s="15" t="str">
        <x:v>先算两工厂第一阶段，再排第二阶段顺序</x:v>
      </x:c>
      <x:c r="D18" s="15" t="str">
        <x:v>阶段2候选比较</x:v>
      </x:c>
    </x:row>
    <x:row r="19">
      <x:c r="A19" s="15" t="n">
        <x:v>4</x:v>
      </x:c>
      <x:c r="B19" s="15" t="str">
        <x:v>阶段2候选比较</x:v>
      </x:c>
      <x:c r="C19" s="15" t="str">
        <x:v>每个第二阶段工件比较两个合法工人的疲劳修正结束时间</x:v>
      </x:c>
      <x:c r="D19" s="15" t="str">
        <x:v>工时疲劳能耗</x:v>
      </x:c>
    </x:row>
    <x:row r="20">
      <x:c r="A20" s="15" t="n">
        <x:v>5</x:v>
      </x:c>
      <x:c r="B20" s="15" t="str">
        <x:v>工时疲劳能耗</x:v>
      </x:c>
      <x:c r="C20" s="15" t="str">
        <x:v>填写10道工序的PT/SET/AT、疲劳、能耗和成本</x:v>
      </x:c>
      <x:c r="D20" s="15" t="str">
        <x:v>目标汇总</x:v>
      </x:c>
    </x:row>
    <x:row r="21">
      <x:c r="A21" s="15" t="n">
        <x:v>6</x:v>
      </x:c>
      <x:c r="B21" s="15" t="str">
        <x:v>目标汇总/提交检查</x:v>
      </x:c>
      <x:c r="C21" s="15" t="str">
        <x:v>重建Cmax、TEC、TWC并完成声明</x:v>
      </x:c>
      <x:c r="D21" s="15" t="str">
        <x:v>提交工作簿</x:v>
      </x:c>
    </x:row>
    <x:row r="23">
      <x:c r="A23" s="49" t="str">
        <x:v>最重要：旧I0-v2的S0→FCLS→FCRS已经降为历史练习。当前表只有一次FM3基础解码，没有S1、S2，也没有序列相关设置时间。</x:v>
      </x:c>
      <x:c r="B23" s="50"/>
      <x:c r="C23" s="50"/>
      <x:c r="D23" s="50"/>
      <x:c r="E23" s="50"/>
      <x:c r="F23" s="50"/>
      <x:c r="G23" s="50"/>
      <x:c r="H23" s="51"/>
    </x:row>
    <x:row r="24">
      <x:c r="A24" s="52"/>
      <x:c r="B24" s="53"/>
      <x:c r="C24" s="53"/>
      <x:c r="D24" s="53"/>
      <x:c r="E24" s="53"/>
      <x:c r="F24" s="53"/>
      <x:c r="G24" s="53"/>
      <x:c r="H24" s="54"/>
    </x:row>
    <x:row r="25">
      <x:c r="A25" s="55"/>
      <x:c r="B25" s="56"/>
      <x:c r="C25" s="56"/>
      <x:c r="D25" s="56"/>
      <x:c r="E25" s="56"/>
      <x:c r="F25" s="56"/>
      <x:c r="G25" s="56"/>
      <x:c r="H25" s="57"/>
    </x:row>
  </x:sheetData>
  <x:mergeCells>
    <x:mergeCell ref="A1:H1"/>
    <x:mergeCell ref="A23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7" hidden="0" customWidth="1"/>
    <x:col min="3" max="3" width="50" hidden="0" customWidth="1"/>
    <x:col min="4" max="4" width="3" hidden="0" customWidth="1"/>
    <x:col min="5" max="5" width="25" hidden="0" customWidth="1"/>
    <x:col min="6" max="6" width="6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当前v3.5正式解码规则（手算依据）</x:v>
      </x:c>
      <x:c r="B1" s="4" t="str">
        <x:v>当前v3.5正式解码规则（手算依据）</x:v>
      </x:c>
      <x:c r="C1" s="4" t="str">
        <x:v>当前v3.5正式解码规则（手算依据）</x:v>
      </x:c>
      <x:c r="D1" s="4" t="str">
        <x:v>当前v3.5正式解码规则（手算依据）</x:v>
      </x:c>
      <x:c r="E1" s="4" t="str">
        <x:v>当前v3.5正式解码规则（手算依据）</x:v>
      </x:c>
      <x:c r="F1" s="4" t="str">
        <x:v>当前v3.5正式解码规则（手算依据）</x:v>
      </x:c>
      <x:c r="G1" s="4" t="str">
        <x:v>当前v3.5正式解码规则（手算依据）</x:v>
      </x:c>
      <x:c r="H1" s="4" t="str">
        <x:v>当前v3.5正式解码规则（手算依据）</x:v>
      </x:c>
    </x:row>
    <x:row r="3">
      <x:c r="A3" s="10" t="str">
        <x:v>步骤</x:v>
      </x:c>
      <x:c r="B3" s="10" t="str">
        <x:v>当前代码规则</x:v>
      </x:c>
      <x:c r="C3" s="10" t="str">
        <x:v>手算公式/判定</x:v>
      </x:c>
      <x:c r="E3" s="10" t="str">
        <x:v>配置项</x:v>
      </x:c>
      <x:c r="F3" s="10" t="str">
        <x:v>当前值</x:v>
      </x:c>
      <x:c r="G3" s="10" t="str">
        <x:v>是否进入本表</x:v>
      </x:c>
      <x:c r="H3" s="10" t="str">
        <x:v>说明</x:v>
      </x:c>
    </x:row>
    <x:row r="4">
      <x:c r="A4" s="15" t="n">
        <x:v>1</x:v>
      </x:c>
      <x:c r="B4" s="20" t="str">
        <x:v>按JS位置读取FA，并在各工厂中保持JS相对顺序</x:v>
      </x:c>
      <x:c r="C4" s="20" t="str">
        <x:v>第一阶段工厂内顺序直接来自JS</x:v>
      </x:c>
      <x:c r="E4" s="20" t="str">
        <x:v>FM3</x:v>
      </x:c>
      <x:c r="F4" s="63" t="b">
        <x:v>1</x:v>
      </x:c>
      <x:c r="G4" s="20" t="str">
        <x:v>是</x:v>
      </x:c>
      <x:c r="H4" s="20" t="str">
        <x:v>完整疲劳解码</x:v>
      </x:c>
    </x:row>
    <x:row r="5">
      <x:c r="A5" s="15" t="n">
        <x:v>2</x:v>
      </x:c>
      <x:c r="B5" s="20" t="str">
        <x:v>第一阶段MA/WA按工件身份从同一位置读取</x:v>
      </x:c>
      <x:c r="C5" s="20" t="str">
        <x:v>不得把位置号当工件号</x:v>
      </x:c>
      <x:c r="E5" s="20" t="str">
        <x:v>SEQUENCE_INDEPENDENT</x:v>
      </x:c>
      <x:c r="F5" s="63" t="b">
        <x:v>1</x:v>
      </x:c>
      <x:c r="G5" s="20" t="str">
        <x:v>是</x:v>
      </x:c>
      <x:c r="H5" s="20" t="str">
        <x:v>当前正式设置时间</x:v>
      </x:c>
    </x:row>
    <x:row r="6">
      <x:c r="A6" s="15" t="n">
        <x:v>3</x:v>
      </x:c>
      <x:c r="B6" s="20" t="str">
        <x:v>第二阶段按上一阶段完工时间升序；并列按前一阶段顺序，再按工件号</x:v>
      </x:c>
      <x:c r="C6" s="20" t="str">
        <x:v>ECT/FIFO/工件号稳定破平</x:v>
      </x:c>
      <x:c r="E6" s="20" t="str">
        <x:v>PF-SDST</x:v>
      </x:c>
      <x:c r="F6" s="63" t="b">
        <x:v>0</x:v>
      </x:c>
      <x:c r="G6" s="20" t="str">
        <x:v>否</x:v>
      </x:c>
      <x:c r="H6" s="20" t="str">
        <x:v>产品族序列相关设置时间尚未进入正式比较</x:v>
      </x:c>
    </x:row>
    <x:row r="7">
      <x:c r="A7" s="15" t="n">
        <x:v>4</x:v>
      </x:c>
      <x:c r="B7" s="20" t="str">
        <x:v>第二阶段第一个工件使用局部M1；后续工件选当前最早可用机器</x:v>
      </x:c>
      <x:c r="C7" s="20" t="str">
        <x:v>机器可用时间并列取较小机器号</x:v>
      </x:c>
      <x:c r="E7" s="20" t="str">
        <x:v>ShiftMode.NONE</x:v>
      </x:c>
      <x:c r="F7" s="63" t="b">
        <x:v>1</x:v>
      </x:c>
      <x:c r="G7" s="20" t="str">
        <x:v>是</x:v>
      </x:c>
      <x:c r="H7" s="20" t="str">
        <x:v>不执行FCLS/FCRS</x:v>
      </x:c>
    </x:row>
    <x:row r="8">
      <x:c r="A8" s="15" t="n">
        <x:v>5</x:v>
      </x:c>
      <x:c r="B8" s="20" t="str">
        <x:v>第二阶段枚举全部合法工人</x:v>
      </x:c>
      <x:c r="C8" s="20" t="str">
        <x:v>选疲劳修正结束时间最小者；并列取较小工厂内统一工人ID</x:v>
      </x:c>
      <x:c r="E8" s="20" t="str">
        <x:v>算法搜索</x:v>
      </x:c>
      <x:c r="F8" s="63" t="b">
        <x:v>1</x:v>
      </x:c>
      <x:c r="G8" s="20" t="str">
        <x:v>否</x:v>
      </x:c>
      <x:c r="H8" s="20" t="str">
        <x:v>Qg/Qp/CFVF/DSCR/CA-TA-Lite/PDDR不属于单粒子手算</x:v>
      </x:c>
    </x:row>
    <x:row r="9">
      <x:c r="A9" s="15" t="n">
        <x:v>6</x:v>
      </x:c>
      <x:c r="B9" s="20" t="str">
        <x:v>最早开始</x:v>
      </x:c>
      <x:c r="C9" s="20" t="str">
        <x:v>S=max(工件前序完工, 机器可用, 工人可用)</x:v>
      </x:c>
    </x:row>
    <x:row r="10">
      <x:c r="A10" s="15" t="n">
        <x:v>7</x:v>
      </x:c>
      <x:c r="B10" s="20" t="str">
        <x:v>自然恢复</x:v>
      </x:c>
      <x:c r="C10" s="20" t="str">
        <x:v>Fstart=Fbefore×exp(-mu上一任务阶段×恢复时长)</x:v>
      </x:c>
      <x:c r="E10" s="10" t="str">
        <x:v>源码文件</x:v>
      </x:c>
      <x:c r="F10" s="10" t="str">
        <x:v>SHA-256</x:v>
      </x:c>
      <x:c r="G10" s="10" t="str">
        <x:v>用途</x:v>
      </x:c>
      <x:c r="H10" s="10" t="str">
        <x:v>状态</x:v>
      </x:c>
    </x:row>
    <x:row r="11">
      <x:c r="A11" s="15" t="n">
        <x:v>8</x:v>
      </x:c>
      <x:c r="B11" s="20" t="str">
        <x:v>基础加工时间</x:v>
      </x:c>
      <x:c r="C11" s="20" t="str">
        <x:v>PT0=ST/(MS×WE)</x:v>
      </x:c>
      <x:c r="E11" s="20" t="str">
        <x:v>java-jmetal58/jmetal-problem/src/main/java/org/uma/jmetal/problem/multiobjective/dfsp/fatigue/ZhangBoFatigueEvaluator.java</x:v>
      </x:c>
      <x:c r="F11" s="20" t="str">
        <x:v>aaf8bc30b81a6193541c3a2cf18da457a1b68806bec39dc4ab8b904fa0625539</x:v>
      </x:c>
      <x:c r="G11" s="20" t="str">
        <x:v>当前语义来源</x:v>
      </x:c>
      <x:c r="H11" s="20" t="str">
        <x:v>冻结引用</x:v>
      </x:c>
    </x:row>
    <x:row r="12">
      <x:c r="A12" s="15" t="n">
        <x:v>9</x:v>
      </x:c>
      <x:c r="B12" s="20" t="str">
        <x:v>基础设置时间</x:v>
      </x:c>
      <x:c r="C12" s="20" t="str">
        <x:v>SET0=SUT/WE；SUT与前序工件无关</x:v>
      </x:c>
      <x:c r="E12" s="20" t="str">
        <x:v>java-jmetal58/jmetal-problem/src/main/java/org/uma/jmetal/problem/multiobjective/dfsp/fatigue/ZhangBoV35ProblemFactory.java</x:v>
      </x:c>
      <x:c r="F12" s="20" t="str">
        <x:v>81a45017a6db304a3c4c286f821c1811cd8f49a33bbf5d2ef0117772769fb7a0</x:v>
      </x:c>
      <x:c r="G12" s="20" t="str">
        <x:v>当前语义来源</x:v>
      </x:c>
      <x:c r="H12" s="20" t="str">
        <x:v>冻结引用</x:v>
      </x:c>
    </x:row>
    <x:row r="13">
      <x:c r="A13" s="15" t="n">
        <x:v>10</x:v>
      </x:c>
      <x:c r="B13" s="20" t="str">
        <x:v>疲劳倍率</x:v>
      </x:c>
      <x:c r="C13" s="20" t="str">
        <x:v>q=1+r/ln(2)×ln(1+Fstart)</x:v>
      </x:c>
      <x:c r="E13" s="20" t="str">
        <x:v>java-jmetal58/jmetal-problem/src/main/java/org/uma/jmetal/problem/multiobjective/dfsp/setup/ProductFamilySetupModel.java</x:v>
      </x:c>
      <x:c r="F13" s="20" t="str">
        <x:v>a62f81a86e6188fbba3fdf44cd00ec637d1a2924c2c4e5da2aff6c35e804b65b</x:v>
      </x:c>
      <x:c r="G13" s="20" t="str">
        <x:v>当前语义来源</x:v>
      </x:c>
      <x:c r="H13" s="20" t="str">
        <x:v>冻结引用</x:v>
      </x:c>
    </x:row>
    <x:row r="14">
      <x:c r="A14" s="15" t="n">
        <x:v>11</x:v>
      </x:c>
      <x:c r="B14" s="20" t="str">
        <x:v>实际占用时间</x:v>
      </x:c>
      <x:c r="C14" s="20" t="str">
        <x:v>PT=q×PT0；SET=q×SET0；AT=PT+SET</x:v>
      </x:c>
      <x:c r="E14" s="20" t="str">
        <x:v>java-jmetal58/jmetal-algorithm/src/main/java/org/uma/jmetal/algorithm/multiobjective/mypso/v35/V35ProductionConfiguration.java</x:v>
      </x:c>
      <x:c r="F14" s="20" t="str">
        <x:v>a490f6bfc5c4d8e56b6f030d361165aceab93d23bea0a51832c773ccf03a4fab</x:v>
      </x:c>
      <x:c r="G14" s="20" t="str">
        <x:v>当前语义来源</x:v>
      </x:c>
      <x:c r="H14" s="20" t="str">
        <x:v>冻结引用</x:v>
      </x:c>
    </x:row>
    <x:row r="15">
      <x:c r="A15" s="15" t="n">
        <x:v>12</x:v>
      </x:c>
      <x:c r="B15" s="20" t="str">
        <x:v>疲劳累积</x:v>
      </x:c>
      <x:c r="C15" s="20" t="str">
        <x:v>Fend=Fstart+(1-Fstart)×(1-exp(-lambda×AT))</x:v>
      </x:c>
    </x:row>
    <x:row r="16">
      <x:c r="A16" s="15" t="n">
        <x:v>13</x:v>
      </x:c>
      <x:c r="B16" s="20" t="str">
        <x:v>能耗</x:v>
      </x:c>
      <x:c r="C16" s="20" t="str">
        <x:v>Energy=AT×机器功率+机器空闲时间×1</x:v>
      </x:c>
    </x:row>
    <x:row r="17">
      <x:c r="A17" s="15" t="n">
        <x:v>14</x:v>
      </x:c>
      <x:c r="B17" s="20" t="str">
        <x:v>成本</x:v>
      </x:c>
      <x:c r="C17" s="20" t="str">
        <x:v>Cost=(AT+机器空闲时间)×工人成本率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24" hidden="0" customWidth="1"/>
    <x:col min="6" max="6" width="16" hidden="0" customWidth="1"/>
  </x:cols>
  <x:sheetData>
    <x:row r="1" ht="30" customHeight="1">
      <x:c r="A1" s="4" t="str">
        <x:v>冻结输入：工件—阶段加工时间与序列无关设置时间</x:v>
      </x:c>
      <x:c r="B1" s="4" t="str">
        <x:v>冻结输入：工件—阶段加工时间与序列无关设置时间</x:v>
      </x:c>
      <x:c r="C1" s="4" t="str">
        <x:v>冻结输入：工件—阶段加工时间与序列无关设置时间</x:v>
      </x:c>
      <x:c r="D1" s="4" t="str">
        <x:v>冻结输入：工件—阶段加工时间与序列无关设置时间</x:v>
      </x:c>
      <x:c r="E1" s="4" t="str">
        <x:v>冻结输入：工件—阶段加工时间与序列无关设置时间</x:v>
      </x:c>
      <x:c r="F1" s="4" t="str">
        <x:v>冻结输入：工件—阶段加工时间与序列无关设置时间</x:v>
      </x:c>
    </x:row>
    <x:row r="3">
      <x:c r="A3" s="10" t="str">
        <x:v>工件</x:v>
      </x:c>
      <x:c r="B3" s="10" t="str">
        <x:v>阶段</x:v>
      </x:c>
      <x:c r="C3" s="10" t="str">
        <x:v>ST</x:v>
      </x:c>
      <x:c r="D3" s="10" t="str">
        <x:v>SUT</x:v>
      </x:c>
      <x:c r="E3" s="10" t="str">
        <x:v>是否读取前序工件</x:v>
      </x:c>
      <x:c r="F3" s="10" t="str">
        <x:v>工序ID</x:v>
      </x:c>
    </x:row>
    <x:row r="4">
      <x:c r="A4" s="15" t="n">
        <x:v>1</x:v>
      </x:c>
      <x:c r="B4" s="15" t="n">
        <x:v>1</x:v>
      </x:c>
      <x:c r="C4" s="78" t="n">
        <x:v>10</x:v>
      </x:c>
      <x:c r="D4" s="78" t="n">
        <x:v>2</x:v>
      </x:c>
      <x:c r="E4" s="68" t="b">
        <x:v>0</x:v>
      </x:c>
      <x:c r="F4" s="15" t="str">
        <x:v>J1-S1</x:v>
      </x:c>
    </x:row>
    <x:row r="5">
      <x:c r="A5" s="15" t="n">
        <x:v>1</x:v>
      </x:c>
      <x:c r="B5" s="15" t="n">
        <x:v>2</x:v>
      </x:c>
      <x:c r="C5" s="78" t="n">
        <x:v>6</x:v>
      </x:c>
      <x:c r="D5" s="78" t="n">
        <x:v>1</x:v>
      </x:c>
      <x:c r="E5" s="68" t="b">
        <x:v>0</x:v>
      </x:c>
      <x:c r="F5" s="15" t="str">
        <x:v>J1-S2</x:v>
      </x:c>
    </x:row>
    <x:row r="6">
      <x:c r="A6" s="15" t="n">
        <x:v>2</x:v>
      </x:c>
      <x:c r="B6" s="15" t="n">
        <x:v>1</x:v>
      </x:c>
      <x:c r="C6" s="78" t="n">
        <x:v>6</x:v>
      </x:c>
      <x:c r="D6" s="78" t="n">
        <x:v>1</x:v>
      </x:c>
      <x:c r="E6" s="68" t="b">
        <x:v>0</x:v>
      </x:c>
      <x:c r="F6" s="15" t="str">
        <x:v>J2-S1</x:v>
      </x:c>
    </x:row>
    <x:row r="7">
      <x:c r="A7" s="15" t="n">
        <x:v>2</x:v>
      </x:c>
      <x:c r="B7" s="15" t="n">
        <x:v>2</x:v>
      </x:c>
      <x:c r="C7" s="78" t="n">
        <x:v>8</x:v>
      </x:c>
      <x:c r="D7" s="78" t="n">
        <x:v>2</x:v>
      </x:c>
      <x:c r="E7" s="68" t="b">
        <x:v>0</x:v>
      </x:c>
      <x:c r="F7" s="15" t="str">
        <x:v>J2-S2</x:v>
      </x:c>
    </x:row>
    <x:row r="8">
      <x:c r="A8" s="15" t="n">
        <x:v>3</x:v>
      </x:c>
      <x:c r="B8" s="15" t="n">
        <x:v>1</x:v>
      </x:c>
      <x:c r="C8" s="78" t="n">
        <x:v>8</x:v>
      </x:c>
      <x:c r="D8" s="78" t="n">
        <x:v>2</x:v>
      </x:c>
      <x:c r="E8" s="68" t="b">
        <x:v>0</x:v>
      </x:c>
      <x:c r="F8" s="15" t="str">
        <x:v>J3-S1</x:v>
      </x:c>
    </x:row>
    <x:row r="9">
      <x:c r="A9" s="15" t="n">
        <x:v>3</x:v>
      </x:c>
      <x:c r="B9" s="15" t="n">
        <x:v>2</x:v>
      </x:c>
      <x:c r="C9" s="78" t="n">
        <x:v>5</x:v>
      </x:c>
      <x:c r="D9" s="78" t="n">
        <x:v>1</x:v>
      </x:c>
      <x:c r="E9" s="68" t="b">
        <x:v>0</x:v>
      </x:c>
      <x:c r="F9" s="15" t="str">
        <x:v>J3-S2</x:v>
      </x:c>
    </x:row>
    <x:row r="10">
      <x:c r="A10" s="15" t="n">
        <x:v>4</x:v>
      </x:c>
      <x:c r="B10" s="15" t="n">
        <x:v>1</x:v>
      </x:c>
      <x:c r="C10" s="78" t="n">
        <x:v>7</x:v>
      </x:c>
      <x:c r="D10" s="78" t="n">
        <x:v>1</x:v>
      </x:c>
      <x:c r="E10" s="68" t="b">
        <x:v>0</x:v>
      </x:c>
      <x:c r="F10" s="15" t="str">
        <x:v>J4-S1</x:v>
      </x:c>
    </x:row>
    <x:row r="11">
      <x:c r="A11" s="15" t="n">
        <x:v>4</x:v>
      </x:c>
      <x:c r="B11" s="15" t="n">
        <x:v>2</x:v>
      </x:c>
      <x:c r="C11" s="78" t="n">
        <x:v>9</x:v>
      </x:c>
      <x:c r="D11" s="78" t="n">
        <x:v>2</x:v>
      </x:c>
      <x:c r="E11" s="68" t="b">
        <x:v>0</x:v>
      </x:c>
      <x:c r="F11" s="15" t="str">
        <x:v>J4-S2</x:v>
      </x:c>
    </x:row>
    <x:row r="12">
      <x:c r="A12" s="15" t="n">
        <x:v>5</x:v>
      </x:c>
      <x:c r="B12" s="15" t="n">
        <x:v>1</x:v>
      </x:c>
      <x:c r="C12" s="78" t="n">
        <x:v>5</x:v>
      </x:c>
      <x:c r="D12" s="78" t="n">
        <x:v>1</x:v>
      </x:c>
      <x:c r="E12" s="68" t="b">
        <x:v>0</x:v>
      </x:c>
      <x:c r="F12" s="15" t="str">
        <x:v>J5-S1</x:v>
      </x:c>
    </x:row>
    <x:row r="13">
      <x:c r="A13" s="15" t="n">
        <x:v>5</x:v>
      </x:c>
      <x:c r="B13" s="15" t="n">
        <x:v>2</x:v>
      </x:c>
      <x:c r="C13" s="78" t="n">
        <x:v>7</x:v>
      </x:c>
      <x:c r="D13" s="78" t="n">
        <x:v>1</x:v>
      </x:c>
      <x:c r="E13" s="68" t="b">
        <x:v>0</x:v>
      </x:c>
      <x:c r="F13" s="15" t="str">
        <x:v>J5-S2</x:v>
      </x:c>
    </x:row>
    <x:row r="16">
      <x:c r="A16" s="69" t="str">
        <x:v>当前设置时间是序列无关设计：J3-S2的标准SUT始终取输入表中的J3-S2数值，不因它前面是J1、J2或其他工件而改变。顺序只会通过工人疲劳间接改变实际SET。</x:v>
      </x:c>
      <x:c r="B16" s="70"/>
      <x:c r="C16" s="70"/>
      <x:c r="D16" s="70"/>
      <x:c r="E16" s="70"/>
      <x:c r="F16" s="71"/>
    </x:row>
    <x:row r="17">
      <x:c r="A17" s="72"/>
      <x:c r="B17" s="73"/>
      <x:c r="C17" s="73"/>
      <x:c r="D17" s="73"/>
      <x:c r="E17" s="73"/>
      <x:c r="F17" s="74"/>
    </x:row>
    <x:row r="18">
      <x:c r="A18" s="75"/>
      <x:c r="B18" s="76"/>
      <x:c r="C18" s="76"/>
      <x:c r="D18" s="76"/>
      <x:c r="E18" s="76"/>
      <x:c r="F18" s="77"/>
    </x:row>
  </x:sheetData>
  <x:mergeCells>
    <x:mergeCell ref="A1:F1"/>
    <x:mergeCell ref="A16:F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6" hidden="0" customWidth="1"/>
    <x:col min="5" max="5" width="14" hidden="0" customWidth="1"/>
    <x:col min="6" max="6" width="24" hidden="0" customWidth="1"/>
  </x:cols>
  <x:sheetData>
    <x:row r="1" ht="30" customHeight="1">
      <x:c r="A1" s="4" t="str">
        <x:v>冻结输入：机器速度与功率</x:v>
      </x:c>
      <x:c r="B1" s="4" t="str">
        <x:v>冻结输入：机器速度与功率</x:v>
      </x:c>
      <x:c r="C1" s="4" t="str">
        <x:v>冻结输入：机器速度与功率</x:v>
      </x:c>
      <x:c r="D1" s="4" t="str">
        <x:v>冻结输入：机器速度与功率</x:v>
      </x:c>
      <x:c r="E1" s="4" t="str">
        <x:v>冻结输入：机器速度与功率</x:v>
      </x:c>
      <x:c r="F1" s="4" t="str">
        <x:v>冻结输入：机器速度与功率</x:v>
      </x:c>
    </x:row>
    <x:row r="3">
      <x:c r="A3" s="10" t="str">
        <x:v>工厂</x:v>
      </x:c>
      <x:c r="B3" s="10" t="str">
        <x:v>阶段</x:v>
      </x:c>
      <x:c r="C3" s="10" t="str">
        <x:v>局部机器</x:v>
      </x:c>
      <x:c r="D3" s="10" t="str">
        <x:v>速度MS</x:v>
      </x:c>
      <x:c r="E3" s="10" t="str">
        <x:v>功率</x:v>
      </x:c>
      <x:c r="F3" s="10" t="str">
        <x:v>完整机器ID</x:v>
      </x:c>
    </x:row>
    <x:row r="4">
      <x:c r="A4" s="15" t="n">
        <x:v>1</x:v>
      </x:c>
      <x:c r="B4" s="15" t="n">
        <x:v>1</x:v>
      </x:c>
      <x:c r="C4" s="15" t="n">
        <x:v>1</x:v>
      </x:c>
      <x:c r="D4" s="78" t="n">
        <x:v>1</x:v>
      </x:c>
      <x:c r="E4" s="78" t="n">
        <x:v>6</x:v>
      </x:c>
      <x:c r="F4" s="15" t="str">
        <x:v>F1-S1-M1</x:v>
      </x:c>
    </x:row>
    <x:row r="5">
      <x:c r="A5" s="15" t="n">
        <x:v>1</x:v>
      </x:c>
      <x:c r="B5" s="15" t="n">
        <x:v>1</x:v>
      </x:c>
      <x:c r="C5" s="15" t="n">
        <x:v>2</x:v>
      </x:c>
      <x:c r="D5" s="78" t="n">
        <x:v>1.25</x:v>
      </x:c>
      <x:c r="E5" s="78" t="n">
        <x:v>8</x:v>
      </x:c>
      <x:c r="F5" s="15" t="str">
        <x:v>F1-S1-M2</x:v>
      </x:c>
    </x:row>
    <x:row r="6">
      <x:c r="A6" s="15" t="n">
        <x:v>1</x:v>
      </x:c>
      <x:c r="B6" s="15" t="n">
        <x:v>2</x:v>
      </x:c>
      <x:c r="C6" s="15" t="n">
        <x:v>1</x:v>
      </x:c>
      <x:c r="D6" s="78" t="n">
        <x:v>1</x:v>
      </x:c>
      <x:c r="E6" s="78" t="n">
        <x:v>7</x:v>
      </x:c>
      <x:c r="F6" s="15" t="str">
        <x:v>F1-S2-M1</x:v>
      </x:c>
    </x:row>
    <x:row r="7">
      <x:c r="A7" s="15" t="n">
        <x:v>1</x:v>
      </x:c>
      <x:c r="B7" s="15" t="n">
        <x:v>2</x:v>
      </x:c>
      <x:c r="C7" s="15" t="n">
        <x:v>2</x:v>
      </x:c>
      <x:c r="D7" s="78" t="n">
        <x:v>1.25</x:v>
      </x:c>
      <x:c r="E7" s="78" t="n">
        <x:v>9</x:v>
      </x:c>
      <x:c r="F7" s="15" t="str">
        <x:v>F1-S2-M2</x:v>
      </x:c>
    </x:row>
    <x:row r="8">
      <x:c r="A8" s="15" t="n">
        <x:v>2</x:v>
      </x:c>
      <x:c r="B8" s="15" t="n">
        <x:v>1</x:v>
      </x:c>
      <x:c r="C8" s="15" t="n">
        <x:v>1</x:v>
      </x:c>
      <x:c r="D8" s="78" t="n">
        <x:v>1</x:v>
      </x:c>
      <x:c r="E8" s="78" t="n">
        <x:v>6</x:v>
      </x:c>
      <x:c r="F8" s="15" t="str">
        <x:v>F2-S1-M1</x:v>
      </x:c>
    </x:row>
    <x:row r="9">
      <x:c r="A9" s="15" t="n">
        <x:v>2</x:v>
      </x:c>
      <x:c r="B9" s="15" t="n">
        <x:v>1</x:v>
      </x:c>
      <x:c r="C9" s="15" t="n">
        <x:v>2</x:v>
      </x:c>
      <x:c r="D9" s="78" t="n">
        <x:v>1.2</x:v>
      </x:c>
      <x:c r="E9" s="78" t="n">
        <x:v>7</x:v>
      </x:c>
      <x:c r="F9" s="15" t="str">
        <x:v>F2-S1-M2</x:v>
      </x:c>
    </x:row>
    <x:row r="10">
      <x:c r="A10" s="15" t="n">
        <x:v>2</x:v>
      </x:c>
      <x:c r="B10" s="15" t="n">
        <x:v>2</x:v>
      </x:c>
      <x:c r="C10" s="15" t="n">
        <x:v>1</x:v>
      </x:c>
      <x:c r="D10" s="78" t="n">
        <x:v>1.1</x:v>
      </x:c>
      <x:c r="E10" s="78" t="n">
        <x:v>7</x:v>
      </x:c>
      <x:c r="F10" s="15" t="str">
        <x:v>F2-S2-M1</x:v>
      </x:c>
    </x:row>
    <x:row r="11">
      <x:c r="A11" s="15" t="n">
        <x:v>2</x:v>
      </x:c>
      <x:c r="B11" s="15" t="n">
        <x:v>2</x:v>
      </x:c>
      <x:c r="C11" s="15" t="n">
        <x:v>2</x:v>
      </x:c>
      <x:c r="D11" s="78" t="n">
        <x:v>1.25</x:v>
      </x:c>
      <x:c r="E11" s="78" t="n">
        <x:v>8</x:v>
      </x:c>
      <x:c r="F11" s="15" t="str">
        <x:v>F2-S2-M2</x:v>
      </x:c>
    </x:row>
    <x:row r="14">
      <x:c r="A14" s="20" t="str">
        <x:v>机器编号只在“工厂+阶段”内局部有效。F1-S1-M1与F1-S2-M1是两台不同的阶段机器。</x:v>
      </x:c>
      <x:c r="B14" s="20"/>
      <x:c r="C14" s="20"/>
      <x:c r="D14" s="20"/>
      <x:c r="E14" s="20"/>
      <x:c r="F14" s="20"/>
    </x:row>
    <x:row r="15">
      <x:c r="A15" s="20"/>
      <x:c r="B15" s="20"/>
      <x:c r="C15" s="20"/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</x:sheetData>
  <x:mergeCells>
    <x:mergeCell ref="A1:F1"/>
    <x:mergeCell ref="A14:F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20" hidden="0" customWidth="1"/>
    <x:col min="4" max="4" width="22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0" customHeight="1">
      <x:c r="A1" s="4" t="str">
        <x:v>冻结输入：工人效率、成本与疲劳参数</x:v>
      </x:c>
      <x:c r="B1" s="4" t="str">
        <x:v>冻结输入：工人效率、成本与疲劳参数</x:v>
      </x:c>
      <x:c r="C1" s="4" t="str">
        <x:v>冻结输入：工人效率、成本与疲劳参数</x:v>
      </x:c>
      <x:c r="D1" s="4" t="str">
        <x:v>冻结输入：工人效率、成本与疲劳参数</x:v>
      </x:c>
      <x:c r="E1" s="4" t="str">
        <x:v>冻结输入：工人效率、成本与疲劳参数</x:v>
      </x:c>
      <x:c r="F1" s="4" t="str">
        <x:v>冻结输入：工人效率、成本与疲劳参数</x:v>
      </x:c>
      <x:c r="G1" s="4" t="str">
        <x:v>冻结输入：工人效率、成本与疲劳参数</x:v>
      </x:c>
      <x:c r="H1" s="4" t="str">
        <x:v>冻结输入：工人效率、成本与疲劳参数</x:v>
      </x:c>
      <x:c r="I1" s="4" t="str">
        <x:v>冻结输入：工人效率、成本与疲劳参数</x:v>
      </x:c>
    </x:row>
    <x:row r="3">
      <x:c r="A3" s="10" t="str">
        <x:v>工厂</x:v>
      </x:c>
      <x:c r="B3" s="10" t="str">
        <x:v>合法阶段</x:v>
      </x:c>
      <x:c r="C3" s="10" t="str">
        <x:v>阶段内局部工人</x:v>
      </x:c>
      <x:c r="D3" s="10" t="str">
        <x:v>工厂内统一工人ID</x:v>
      </x:c>
      <x:c r="E3" s="10" t="str">
        <x:v>完整工人ID</x:v>
      </x:c>
      <x:c r="F3" s="10" t="str">
        <x:v>效率WE</x:v>
      </x:c>
      <x:c r="G3" s="10" t="str">
        <x:v>成本率</x:v>
      </x:c>
      <x:c r="H3" s="10" t="str">
        <x:v>lambda</x:v>
      </x:c>
      <x:c r="I3" s="10" t="str">
        <x:v>mu</x:v>
      </x:c>
    </x:row>
    <x:row r="4">
      <x:c r="A4" s="15" t="n">
        <x:v>1</x:v>
      </x:c>
      <x:c r="B4" s="15" t="n">
        <x:v>1</x:v>
      </x:c>
      <x:c r="C4" s="15" t="n">
        <x:v>1</x:v>
      </x:c>
      <x:c r="D4" s="15" t="n">
        <x:v>1</x:v>
      </x:c>
      <x:c r="E4" s="15" t="str">
        <x:v>F1-W1</x:v>
      </x:c>
      <x:c r="F4" s="78" t="n">
        <x:v>1</x:v>
      </x:c>
      <x:c r="G4" s="78" t="n">
        <x:v>10</x:v>
      </x:c>
      <x:c r="H4" s="78" t="n">
        <x:v>0.02</x:v>
      </x:c>
      <x:c r="I4" s="78" t="n">
        <x:v>0.05</x:v>
      </x:c>
    </x:row>
    <x:row r="5">
      <x:c r="A5" s="15" t="n">
        <x:v>1</x:v>
      </x:c>
      <x:c r="B5" s="15" t="n">
        <x:v>1</x:v>
      </x:c>
      <x:c r="C5" s="15" t="n">
        <x:v>2</x:v>
      </x:c>
      <x:c r="D5" s="15" t="n">
        <x:v>2</x:v>
      </x:c>
      <x:c r="E5" s="15" t="str">
        <x:v>F1-W2</x:v>
      </x:c>
      <x:c r="F5" s="78" t="n">
        <x:v>1</x:v>
      </x:c>
      <x:c r="G5" s="78" t="n">
        <x:v>11</x:v>
      </x:c>
      <x:c r="H5" s="78" t="n">
        <x:v>0.025</x:v>
      </x:c>
      <x:c r="I5" s="78" t="n">
        <x:v>0.04</x:v>
      </x:c>
    </x:row>
    <x:row r="6">
      <x:c r="A6" s="15" t="n">
        <x:v>1</x:v>
      </x:c>
      <x:c r="B6" s="15" t="n">
        <x:v>2</x:v>
      </x:c>
      <x:c r="C6" s="15" t="n">
        <x:v>1</x:v>
      </x:c>
      <x:c r="D6" s="15" t="n">
        <x:v>3</x:v>
      </x:c>
      <x:c r="E6" s="15" t="str">
        <x:v>F1-W3</x:v>
      </x:c>
      <x:c r="F6" s="78" t="n">
        <x:v>1</x:v>
      </x:c>
      <x:c r="G6" s="78" t="n">
        <x:v>10</x:v>
      </x:c>
      <x:c r="H6" s="78" t="n">
        <x:v>0.018</x:v>
      </x:c>
      <x:c r="I6" s="78" t="n">
        <x:v>0.06</x:v>
      </x:c>
    </x:row>
    <x:row r="7">
      <x:c r="A7" s="15" t="n">
        <x:v>1</x:v>
      </x:c>
      <x:c r="B7" s="15" t="n">
        <x:v>2</x:v>
      </x:c>
      <x:c r="C7" s="15" t="n">
        <x:v>2</x:v>
      </x:c>
      <x:c r="D7" s="15" t="n">
        <x:v>4</x:v>
      </x:c>
      <x:c r="E7" s="15" t="str">
        <x:v>F1-W4</x:v>
      </x:c>
      <x:c r="F7" s="78" t="n">
        <x:v>1.2</x:v>
      </x:c>
      <x:c r="G7" s="78" t="n">
        <x:v>12</x:v>
      </x:c>
      <x:c r="H7" s="78" t="n">
        <x:v>0.022</x:v>
      </x:c>
      <x:c r="I7" s="78" t="n">
        <x:v>0.05</x:v>
      </x:c>
    </x:row>
    <x:row r="8">
      <x:c r="A8" s="15" t="n">
        <x:v>2</x:v>
      </x:c>
      <x:c r="B8" s="15" t="n">
        <x:v>1</x:v>
      </x:c>
      <x:c r="C8" s="15" t="n">
        <x:v>1</x:v>
      </x:c>
      <x:c r="D8" s="15" t="n">
        <x:v>1</x:v>
      </x:c>
      <x:c r="E8" s="15" t="str">
        <x:v>F2-W1</x:v>
      </x:c>
      <x:c r="F8" s="78" t="n">
        <x:v>1</x:v>
      </x:c>
      <x:c r="G8" s="78" t="n">
        <x:v>10</x:v>
      </x:c>
      <x:c r="H8" s="78" t="n">
        <x:v>0.021</x:v>
      </x:c>
      <x:c r="I8" s="78" t="n">
        <x:v>0.05</x:v>
      </x:c>
    </x:row>
    <x:row r="9">
      <x:c r="A9" s="15" t="n">
        <x:v>2</x:v>
      </x:c>
      <x:c r="B9" s="15" t="n">
        <x:v>1</x:v>
      </x:c>
      <x:c r="C9" s="15" t="n">
        <x:v>2</x:v>
      </x:c>
      <x:c r="D9" s="15" t="n">
        <x:v>2</x:v>
      </x:c>
      <x:c r="E9" s="15" t="str">
        <x:v>F2-W2</x:v>
      </x:c>
      <x:c r="F9" s="78" t="n">
        <x:v>1.1</x:v>
      </x:c>
      <x:c r="G9" s="78" t="n">
        <x:v>11</x:v>
      </x:c>
      <x:c r="H9" s="78" t="n">
        <x:v>0.026</x:v>
      </x:c>
      <x:c r="I9" s="78" t="n">
        <x:v>0.04</x:v>
      </x:c>
    </x:row>
    <x:row r="10">
      <x:c r="A10" s="15" t="n">
        <x:v>2</x:v>
      </x:c>
      <x:c r="B10" s="15" t="n">
        <x:v>2</x:v>
      </x:c>
      <x:c r="C10" s="15" t="n">
        <x:v>1</x:v>
      </x:c>
      <x:c r="D10" s="15" t="n">
        <x:v>3</x:v>
      </x:c>
      <x:c r="E10" s="15" t="str">
        <x:v>F2-W3</x:v>
      </x:c>
      <x:c r="F10" s="78" t="n">
        <x:v>1</x:v>
      </x:c>
      <x:c r="G10" s="78" t="n">
        <x:v>10</x:v>
      </x:c>
      <x:c r="H10" s="78" t="n">
        <x:v>0.019</x:v>
      </x:c>
      <x:c r="I10" s="78" t="n">
        <x:v>0.06</x:v>
      </x:c>
    </x:row>
    <x:row r="11">
      <x:c r="A11" s="15" t="n">
        <x:v>2</x:v>
      </x:c>
      <x:c r="B11" s="15" t="n">
        <x:v>2</x:v>
      </x:c>
      <x:c r="C11" s="15" t="n">
        <x:v>2</x:v>
      </x:c>
      <x:c r="D11" s="15" t="n">
        <x:v>4</x:v>
      </x:c>
      <x:c r="E11" s="15" t="str">
        <x:v>F2-W4</x:v>
      </x:c>
      <x:c r="F11" s="78" t="n">
        <x:v>1.15</x:v>
      </x:c>
      <x:c r="G11" s="78" t="n">
        <x:v>12</x:v>
      </x:c>
      <x:c r="H11" s="78" t="n">
        <x:v>0.023</x:v>
      </x:c>
      <x:c r="I11" s="78" t="n">
        <x:v>0.05</x:v>
      </x:c>
    </x:row>
    <x:row r="14">
      <x:c r="A14" s="20" t="str">
        <x:v>手算时用完整身份“工厂+工厂内统一工人ID”。例如F1-W1与F2-W1不是同一个人。第一阶段WA使用阶段内局部编号1/2，对应工厂内ID 1/2；第二阶段合法工人为工厂内ID 3/4。</x:v>
      </x:c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</x:sheetData>
  <x:mergeCells>
    <x:mergeCell ref="A1:I1"/>
    <x:mergeCell ref="A14:I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25" hidden="0" customWidth="1"/>
    <x:col min="5" max="5" width="25" hidden="0" customWidth="1"/>
    <x:col min="6" max="6" width="22" hidden="0" customWidth="1"/>
    <x:col min="7" max="7" width="34" hidden="0" customWidth="1"/>
    <x:col min="8" max="8" width="15" hidden="0" customWidth="1"/>
  </x:cols>
  <x:sheetData>
    <x:row r="1" ht="30" customHeight="1">
      <x:c r="A1" s="4" t="str">
        <x:v>四向量位置对齐与第一阶段资源映射（1基论文编号）</x:v>
      </x:c>
      <x:c r="B1" s="4" t="str">
        <x:v>四向量位置对齐与第一阶段资源映射（1基论文编号）</x:v>
      </x:c>
      <x:c r="C1" s="4" t="str">
        <x:v>四向量位置对齐与第一阶段资源映射（1基论文编号）</x:v>
      </x:c>
      <x:c r="D1" s="4" t="str">
        <x:v>四向量位置对齐与第一阶段资源映射（1基论文编号）</x:v>
      </x:c>
      <x:c r="E1" s="4" t="str">
        <x:v>四向量位置对齐与第一阶段资源映射（1基论文编号）</x:v>
      </x:c>
      <x:c r="F1" s="4" t="str">
        <x:v>四向量位置对齐与第一阶段资源映射（1基论文编号）</x:v>
      </x:c>
      <x:c r="G1" s="4" t="str">
        <x:v>四向量位置对齐与第一阶段资源映射（1基论文编号）</x:v>
      </x:c>
      <x:c r="H1" s="4" t="str">
        <x:v>四向量位置对齐与第一阶段资源映射（1基论文编号）</x:v>
      </x:c>
    </x:row>
    <x:row r="3">
      <x:c r="A3" s="10" t="str">
        <x:v>位置p</x:v>
      </x:c>
      <x:c r="B3" s="10" t="str">
        <x:v>JS[p]工件</x:v>
      </x:c>
      <x:c r="C3" s="10" t="str">
        <x:v>FA[p]工厂</x:v>
      </x:c>
      <x:c r="D3" s="10" t="str">
        <x:v>MA[p]第一阶段局部机器</x:v>
      </x:c>
      <x:c r="E3" s="10" t="str">
        <x:v>WA[p]第一阶段局部工人</x:v>
      </x:c>
      <x:c r="F3" s="10" t="str">
        <x:v>工厂内统一工人ID</x:v>
      </x:c>
      <x:c r="G3" s="10" t="str">
        <x:v>第一阶段完整映射</x:v>
      </x:c>
      <x:c r="H3" s="10" t="str">
        <x:v>状态</x:v>
      </x:c>
    </x:row>
    <x:row r="4">
      <x:c r="A4" s="15" t="n">
        <x:v>1</x:v>
      </x:c>
      <x:c r="B4" s="15" t="n">
        <x:v>3</x:v>
      </x:c>
      <x:c r="C4" s="15" t="n">
        <x:v>1</x:v>
      </x:c>
      <x:c r="D4" s="15" t="n">
        <x:v>1</x:v>
      </x:c>
      <x:c r="E4" s="15" t="n">
        <x:v>1</x:v>
      </x:c>
      <x:c r="F4" s="15" t="n">
        <x:v>1</x:v>
      </x:c>
      <x:c r="G4" s="15" t="str">
        <x:v>J3→F1-S1-M1-W1</x:v>
      </x:c>
      <x:c r="H4" s="15" t="str">
        <x:v>冻结输入</x:v>
      </x:c>
    </x:row>
    <x:row r="5">
      <x:c r="A5" s="15" t="n">
        <x:v>2</x:v>
      </x:c>
      <x:c r="B5" s="15" t="n">
        <x:v>1</x:v>
      </x:c>
      <x:c r="C5" s="15" t="n">
        <x:v>2</x:v>
      </x:c>
      <x:c r="D5" s="15" t="n">
        <x:v>1</x:v>
      </x:c>
      <x:c r="E5" s="15" t="n">
        <x:v>1</x:v>
      </x:c>
      <x:c r="F5" s="15" t="n">
        <x:v>1</x:v>
      </x:c>
      <x:c r="G5" s="15" t="str">
        <x:v>J1→F2-S1-M1-W1</x:v>
      </x:c>
      <x:c r="H5" s="15" t="str">
        <x:v>冻结输入</x:v>
      </x:c>
    </x:row>
    <x:row r="6">
      <x:c r="A6" s="15" t="n">
        <x:v>3</x:v>
      </x:c>
      <x:c r="B6" s="15" t="n">
        <x:v>2</x:v>
      </x:c>
      <x:c r="C6" s="15" t="n">
        <x:v>2</x:v>
      </x:c>
      <x:c r="D6" s="15" t="n">
        <x:v>1</x:v>
      </x:c>
      <x:c r="E6" s="15" t="n">
        <x:v>1</x:v>
      </x:c>
      <x:c r="F6" s="15" t="n">
        <x:v>1</x:v>
      </x:c>
      <x:c r="G6" s="15" t="str">
        <x:v>J2→F2-S1-M1-W1</x:v>
      </x:c>
      <x:c r="H6" s="15" t="str">
        <x:v>冻结输入</x:v>
      </x:c>
    </x:row>
    <x:row r="7">
      <x:c r="A7" s="15" t="n">
        <x:v>4</x:v>
      </x:c>
      <x:c r="B7" s="15" t="n">
        <x:v>4</x:v>
      </x:c>
      <x:c r="C7" s="15" t="n">
        <x:v>1</x:v>
      </x:c>
      <x:c r="D7" s="15" t="n">
        <x:v>1</x:v>
      </x:c>
      <x:c r="E7" s="15" t="n">
        <x:v>2</x:v>
      </x:c>
      <x:c r="F7" s="15" t="n">
        <x:v>2</x:v>
      </x:c>
      <x:c r="G7" s="15" t="str">
        <x:v>J4→F1-S1-M1-W2</x:v>
      </x:c>
      <x:c r="H7" s="15" t="str">
        <x:v>冻结输入</x:v>
      </x:c>
    </x:row>
    <x:row r="8">
      <x:c r="A8" s="15" t="n">
        <x:v>5</x:v>
      </x:c>
      <x:c r="B8" s="15" t="n">
        <x:v>5</x:v>
      </x:c>
      <x:c r="C8" s="15" t="n">
        <x:v>1</x:v>
      </x:c>
      <x:c r="D8" s="15" t="n">
        <x:v>2</x:v>
      </x:c>
      <x:c r="E8" s="15" t="n">
        <x:v>2</x:v>
      </x:c>
      <x:c r="F8" s="15" t="n">
        <x:v>2</x:v>
      </x:c>
      <x:c r="G8" s="15" t="str">
        <x:v>J5→F1-S1-M2-W2</x:v>
      </x:c>
      <x:c r="H8" s="15" t="str">
        <x:v>冻结输入</x:v>
      </x:c>
    </x:row>
    <x:row r="11">
      <x:c r="A11" s="10" t="str">
        <x:v>工厂</x:v>
      </x:c>
      <x:c r="B11" s="10" t="str">
        <x:v>第一阶段JS相对顺序</x:v>
      </x:c>
      <x:c r="C11" s="10" t="str">
        <x:v>本人确认</x:v>
      </x:c>
    </x:row>
    <x:row r="12">
      <x:c r="A12" s="20" t="str">
        <x:v>F1</x:v>
      </x:c>
      <x:c r="B12" s="20" t="str">
        <x:v>J3 → J4 → J5</x:v>
      </x:c>
      <x:c r="C12" s="85"/>
    </x:row>
    <x:row r="13">
      <x:c r="A13" s="20" t="str">
        <x:v>F2</x:v>
      </x:c>
      <x:c r="B13" s="20" t="str">
        <x:v>J1 → J2</x:v>
      </x:c>
      <x:c r="C13" s="85"/>
    </x:row>
    <x:row r="14">
      <x:c r="A14" s="20" t="str">
        <x:v>注意</x:v>
      </x:c>
      <x:c r="B14" s="20" t="str">
        <x:v>第二阶段顺序不能直接照抄JS，必须等第一阶段结束时间算完后重新排序</x:v>
      </x:c>
      <x:c r="C14" s="85"/>
    </x:row>
    <x:row r="15">
      <x:c r="A15" s="20" t="str">
        <x:v>位置≠工件号</x:v>
      </x:c>
      <x:c r="B15" s="20" t="str">
        <x:v>读取J4的FA/MA/WA时先找JS中J4所在位置p=4</x:v>
      </x:c>
      <x:c r="C15" s="85"/>
    </x:row>
    <x:row r="16">
      <x:c r="A16" s="20" t="str">
        <x:v>Shift</x:v>
      </x:c>
      <x:c r="B16" s="20" t="str">
        <x:v>NONE：粒子解码结束后不再左移或右移</x:v>
      </x:c>
      <x:c r="C16" s="85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55" hidden="0" customWidth="1"/>
    <x:col min="4" max="4" width="16" hidden="0" customWidth="1"/>
    <x:col min="5" max="5" width="5" hidden="0" customWidth="1"/>
  </x:cols>
  <x:sheetData>
    <x:row r="1" ht="30" customHeight="1">
      <x:c r="A1" s="4" t="str">
        <x:v>先只手算J3-S1：所有绿色检查PASS后再继续</x:v>
      </x:c>
      <x:c r="B1" s="4" t="str">
        <x:v>先只手算J3-S1：所有绿色检查PASS后再继续</x:v>
      </x:c>
      <x:c r="C1" s="4" t="str">
        <x:v>先只手算J3-S1：所有绿色检查PASS后再继续</x:v>
      </x:c>
      <x:c r="D1" s="4" t="str">
        <x:v>先只手算J3-S1：所有绿色检查PASS后再继续</x:v>
      </x:c>
      <x:c r="E1" s="4" t="str">
        <x:v>先只手算J3-S1：所有绿色检查PASS后再继续</x:v>
      </x:c>
    </x:row>
    <x:row r="3">
      <x:c r="A3" s="10" t="str">
        <x:v>冻结参数</x:v>
      </x:c>
      <x:c r="B3" s="10" t="str">
        <x:v>数值</x:v>
      </x:c>
      <x:c r="C3" s="10" t="str">
        <x:v>来源</x:v>
      </x:c>
    </x:row>
    <x:row r="4">
      <x:c r="A4" s="15" t="str">
        <x:v>ST</x:v>
      </x:c>
      <x:c r="B4" s="78" t="n">
        <x:f>'输入_工件'!C8</x:f>
        <x:v>8</x:v>
      </x:c>
      <x:c r="C4" s="20" t="str">
        <x:v>输入_工件 J3-S1</x:v>
      </x:c>
    </x:row>
    <x:row r="5">
      <x:c r="A5" s="15" t="str">
        <x:v>SUT</x:v>
      </x:c>
      <x:c r="B5" s="78" t="n">
        <x:f>'输入_工件'!D8</x:f>
        <x:v>2</x:v>
      </x:c>
      <x:c r="C5" s="20" t="str">
        <x:v>输入_工件 J3-S1；与前序工件无关</x:v>
      </x:c>
    </x:row>
    <x:row r="6">
      <x:c r="A6" s="15" t="str">
        <x:v>MS</x:v>
      </x:c>
      <x:c r="B6" s="78" t="n">
        <x:f>'输入_机器'!D4</x:f>
        <x:v>1</x:v>
      </x:c>
      <x:c r="C6" s="20" t="str">
        <x:v>输入_机器 F1-S1-M1</x:v>
      </x:c>
    </x:row>
    <x:row r="7">
      <x:c r="A7" s="15" t="str">
        <x:v>机器功率</x:v>
      </x:c>
      <x:c r="B7" s="78" t="n">
        <x:f>'输入_机器'!E4</x:f>
        <x:v>6</x:v>
      </x:c>
      <x:c r="C7" s="20" t="str">
        <x:v>输入_机器 F1-S1-M1</x:v>
      </x:c>
    </x:row>
    <x:row r="8">
      <x:c r="A8" s="15" t="str">
        <x:v>WE</x:v>
      </x:c>
      <x:c r="B8" s="78" t="n">
        <x:f>'输入_工人'!F4</x:f>
        <x:v>1</x:v>
      </x:c>
      <x:c r="C8" s="20" t="str">
        <x:v>输入_工人 F1-W1</x:v>
      </x:c>
    </x:row>
    <x:row r="9">
      <x:c r="A9" s="15" t="str">
        <x:v>成本率</x:v>
      </x:c>
      <x:c r="B9" s="78" t="n">
        <x:f>'输入_工人'!G4</x:f>
        <x:v>10</x:v>
      </x:c>
      <x:c r="C9" s="20" t="str">
        <x:v>输入_工人 F1-W1</x:v>
      </x:c>
    </x:row>
    <x:row r="10">
      <x:c r="A10" s="15" t="str">
        <x:v>r</x:v>
      </x:c>
      <x:c r="B10" s="78" t="n">
        <x:v>0.3</x:v>
      </x:c>
      <x:c r="C10" s="20" t="str">
        <x:v>阶段最大疲劳工时增幅</x:v>
      </x:c>
    </x:row>
    <x:row r="11">
      <x:c r="A11" s="15" t="str">
        <x:v>lambda</x:v>
      </x:c>
      <x:c r="B11" s="78" t="n">
        <x:f>'输入_工人'!H4</x:f>
        <x:v>0.02</x:v>
      </x:c>
      <x:c r="C11" s="20" t="str">
        <x:v>输入_工人 F1-W1/S1</x:v>
      </x:c>
    </x:row>
    <x:row r="12">
      <x:c r="A12" s="15" t="str">
        <x:v>mu</x:v>
      </x:c>
      <x:c r="B12" s="78" t="n">
        <x:f>'输入_工人'!I4</x:f>
        <x:v>0.05</x:v>
      </x:c>
      <x:c r="C12" s="20" t="str">
        <x:v>输入_工人 F1-W1/S1；本工序无前序恢复</x:v>
      </x:c>
    </x:row>
    <x:row r="15">
      <x:c r="A15" s="10" t="str">
        <x:v>手算项目</x:v>
      </x:c>
      <x:c r="B15" s="10" t="str">
        <x:v>本人结果</x:v>
      </x:c>
      <x:c r="C15" s="10" t="str">
        <x:v>公式提示</x:v>
      </x:c>
      <x:c r="D15" s="10" t="str">
        <x:v>自检</x:v>
      </x:c>
    </x:row>
    <x:row r="16">
      <x:c r="A16" s="15" t="str">
        <x:v>工件前序完工</x:v>
      </x:c>
      <x:c r="B16" s="78" t="n">
        <x:v>0</x:v>
      </x:c>
      <x:c r="C16" s="20" t="str">
        <x:v>第一阶段没有工件前序</x:v>
      </x:c>
      <x:c r="D16" s="91" t="str">
        <x:v>冻结</x:v>
      </x:c>
    </x:row>
    <x:row r="17">
      <x:c r="A17" s="15" t="str">
        <x:v>机器可用时间</x:v>
      </x:c>
      <x:c r="B17" s="78" t="n">
        <x:v>0</x:v>
      </x:c>
      <x:c r="C17" s="20" t="str">
        <x:v>F1-S1-M1首次使用</x:v>
      </x:c>
      <x:c r="D17" s="91" t="str">
        <x:v>冻结</x:v>
      </x:c>
    </x:row>
    <x:row r="18">
      <x:c r="A18" s="15" t="str">
        <x:v>工人可用时间</x:v>
      </x:c>
      <x:c r="B18" s="78" t="n">
        <x:v>0</x:v>
      </x:c>
      <x:c r="C18" s="20" t="str">
        <x:v>F1-W1首次使用</x:v>
      </x:c>
      <x:c r="D18" s="91" t="str">
        <x:v>冻结</x:v>
      </x:c>
    </x:row>
    <x:row r="19">
      <x:c r="A19" s="15" t="str">
        <x:v>Fbefore</x:v>
      </x:c>
      <x:c r="B19" s="78" t="n">
        <x:v>0</x:v>
      </x:c>
      <x:c r="C19" s="20" t="str">
        <x:v>初始疲劳</x:v>
      </x:c>
      <x:c r="D19" s="91" t="str">
        <x:v>冻结</x:v>
      </x:c>
    </x:row>
    <x:row r="20">
      <x:c r="A20" s="15" t="str">
        <x:v>开始S</x:v>
      </x:c>
      <x:c r="B20" s="84"/>
      <x:c r="C20" s="20" t="str">
        <x:v>max(前三个可用时间)</x:v>
      </x:c>
      <x:c r="D20" s="91" t="str">
        <x:f>IF(B20="","未填",IF(ABS(B20-MAX(B16:B18))&lt;=1E-9,"PASS","CHECK"))</x:f>
        <x:v>未填</x:v>
      </x:c>
    </x:row>
    <x:row r="21">
      <x:c r="A21" s="15" t="str">
        <x:v>恢复时长</x:v>
      </x:c>
      <x:c r="B21" s="84"/>
      <x:c r="C21" s="20" t="str">
        <x:v>首次任务按当前代码记0</x:v>
      </x:c>
      <x:c r="D21" s="91" t="str">
        <x:f>IF(B21="","未填",IF(ABS(B21-0)&lt;=1E-9,"PASS","CHECK"))</x:f>
        <x:v>未填</x:v>
      </x:c>
    </x:row>
    <x:row r="22">
      <x:c r="A22" s="15" t="str">
        <x:v>Fstart</x:v>
      </x:c>
      <x:c r="B22" s="84"/>
      <x:c r="C22" s="20" t="str">
        <x:v>Fbefore×exp(-mu×恢复时长)</x:v>
      </x:c>
      <x:c r="D22" s="91" t="str">
        <x:f>IF(B22="","未填",IF(ABS(B22-B19*EXP(-B12*B21))&lt;=1E-9,"PASS","CHECK"))</x:f>
        <x:v>未填</x:v>
      </x:c>
    </x:row>
    <x:row r="23">
      <x:c r="A23" s="15" t="str">
        <x:v>PT0</x:v>
      </x:c>
      <x:c r="B23" s="84"/>
      <x:c r="C23" s="20" t="str">
        <x:v>ST/(MS×WE)</x:v>
      </x:c>
      <x:c r="D23" s="91" t="str">
        <x:f>IF(B23="","未填",IF(ABS(B23-B4/(B6*B8))&lt;=1E-9,"PASS","CHECK"))</x:f>
        <x:v>未填</x:v>
      </x:c>
    </x:row>
    <x:row r="24">
      <x:c r="A24" s="15" t="str">
        <x:v>SET0</x:v>
      </x:c>
      <x:c r="B24" s="84"/>
      <x:c r="C24" s="20" t="str">
        <x:v>SUT/WE</x:v>
      </x:c>
      <x:c r="D24" s="91" t="str">
        <x:f>IF(B24="","未填",IF(ABS(B24-B5/B8)&lt;=1E-9,"PASS","CHECK"))</x:f>
        <x:v>未填</x:v>
      </x:c>
    </x:row>
    <x:row r="25">
      <x:c r="A25" s="15" t="str">
        <x:v>AT0</x:v>
      </x:c>
      <x:c r="B25" s="84"/>
      <x:c r="C25" s="20" t="str">
        <x:v>PT0+SET0</x:v>
      </x:c>
      <x:c r="D25" s="91" t="str">
        <x:f>IF(B25="","未填",IF(ABS(B25-B23-B24)&lt;=1E-9,"PASS","CHECK"))</x:f>
        <x:v>未填</x:v>
      </x:c>
    </x:row>
    <x:row r="26">
      <x:c r="A26" s="15" t="str">
        <x:v>疲劳倍率q</x:v>
      </x:c>
      <x:c r="B26" s="84"/>
      <x:c r="C26" s="20" t="str">
        <x:v>1+r/ln(2)×ln(1+Fstart)</x:v>
      </x:c>
      <x:c r="D26" s="91" t="str">
        <x:f>IF(B26="","未填",IF(ABS(B26-(1+B10/LN(2)*LN(1+B22)))&lt;=1E-9,"PASS","CHECK"))</x:f>
        <x:v>未填</x:v>
      </x:c>
    </x:row>
    <x:row r="27">
      <x:c r="A27" s="15" t="str">
        <x:v>实际PT</x:v>
      </x:c>
      <x:c r="B27" s="84"/>
      <x:c r="C27" s="20" t="str">
        <x:v>PT0×q</x:v>
      </x:c>
      <x:c r="D27" s="91" t="str">
        <x:f>IF(B27="","未填",IF(ABS(B27-B23*B26)&lt;=1E-9,"PASS","CHECK"))</x:f>
        <x:v>未填</x:v>
      </x:c>
    </x:row>
    <x:row r="28">
      <x:c r="A28" s="15" t="str">
        <x:v>实际SET</x:v>
      </x:c>
      <x:c r="B28" s="84"/>
      <x:c r="C28" s="20" t="str">
        <x:v>SET0×q</x:v>
      </x:c>
      <x:c r="D28" s="91" t="str">
        <x:f>IF(B28="","未填",IF(ABS(B28-B24*B26)&lt;=1E-9,"PASS","CHECK"))</x:f>
        <x:v>未填</x:v>
      </x:c>
    </x:row>
    <x:row r="29">
      <x:c r="A29" s="15" t="str">
        <x:v>实际AT</x:v>
      </x:c>
      <x:c r="B29" s="84"/>
      <x:c r="C29" s="20" t="str">
        <x:v>实际PT+实际SET</x:v>
      </x:c>
      <x:c r="D29" s="91" t="str">
        <x:f>IF(B29="","未填",IF(ABS(B29-B27-B28)&lt;=1E-9,"PASS","CHECK"))</x:f>
        <x:v>未填</x:v>
      </x:c>
    </x:row>
    <x:row r="30">
      <x:c r="A30" s="15" t="str">
        <x:v>结束C</x:v>
      </x:c>
      <x:c r="B30" s="84"/>
      <x:c r="C30" s="20" t="str">
        <x:v>开始S+实际AT</x:v>
      </x:c>
      <x:c r="D30" s="91" t="str">
        <x:f>IF(B30="","未填",IF(ABS(B30-B20-B29)&lt;=1E-9,"PASS","CHECK"))</x:f>
        <x:v>未填</x:v>
      </x:c>
    </x:row>
    <x:row r="31">
      <x:c r="A31" s="15" t="str">
        <x:v>Fafter</x:v>
      </x:c>
      <x:c r="B31" s="84"/>
      <x:c r="C31" s="20" t="str">
        <x:v>Fstart+(1-Fstart)×(1-exp(-lambda×实际AT))</x:v>
      </x:c>
      <x:c r="D31" s="91" t="str">
        <x:f>IF(B31="","未填",IF(ABS(B31-(B22+(1-B22)*(1-EXP(-B11*B29))))&lt;=1E-9,"PASS","CHECK"))</x:f>
        <x:v>未填</x:v>
      </x:c>
    </x:row>
    <x:row r="32">
      <x:c r="A32" s="15" t="str">
        <x:v>机器空闲</x:v>
      </x:c>
      <x:c r="B32" s="84"/>
      <x:c r="C32" s="20" t="str">
        <x:v>首次使用为0</x:v>
      </x:c>
      <x:c r="D32" s="91" t="str">
        <x:f>IF(B32="","未填",IF(ABS(B32)&lt;=1E-9,"PASS","CHECK"))</x:f>
        <x:v>未填</x:v>
      </x:c>
    </x:row>
    <x:row r="33">
      <x:c r="A33" s="15" t="str">
        <x:v>Energy</x:v>
      </x:c>
      <x:c r="B33" s="84"/>
      <x:c r="C33" s="20" t="str">
        <x:v>实际AT×功率+机器空闲</x:v>
      </x:c>
      <x:c r="D33" s="91" t="str">
        <x:f>IF(B33="","未填",IF(ABS(B33-(B29*B7+B32))&lt;=1E-9,"PASS","CHECK"))</x:f>
        <x:v>未填</x:v>
      </x:c>
    </x:row>
    <x:row r="34">
      <x:c r="A34" s="15" t="str">
        <x:v>Cost</x:v>
      </x:c>
      <x:c r="B34" s="84"/>
      <x:c r="C34" s="20" t="str">
        <x:v>(实际AT+机器空闲)×成本率</x:v>
      </x:c>
      <x:c r="D34" s="91" t="str">
        <x:f>IF(B34="","未填",IF(ABS(B34-((B29+B32)*B9))&lt;=1E-9,"PASS","CHECK"))</x:f>
        <x:v>未填</x:v>
      </x:c>
    </x:row>
    <x:row r="36">
      <x:c r="A36" s="20" t="str">
        <x:v>这张练习页只检查公式关系，不读取Java程序结果。你填错时只显示CHECK，不会显示正确答案。</x:v>
      </x:c>
      <x:c r="B36" s="20"/>
      <x:c r="C36" s="20"/>
      <x:c r="D36" s="20"/>
      <x:c r="E36" s="20"/>
    </x:row>
    <x:row r="37">
      <x:c r="A37" s="20"/>
      <x:c r="B37" s="20"/>
      <x:c r="C37" s="20"/>
      <x:c r="D37" s="20"/>
      <x:c r="E37" s="20"/>
    </x:row>
    <x:row r="38">
      <x:c r="A38" s="20"/>
      <x:c r="B38" s="20"/>
      <x:c r="C38" s="20"/>
      <x:c r="D38" s="20"/>
      <x:c r="E38" s="20"/>
    </x:row>
  </x:sheetData>
  <x:mergeCells>
    <x:mergeCell ref="A1:E1"/>
    <x:mergeCell ref="A36:E3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13" hidden="0" customWidth="1"/>
    <x:col min="5" max="5" width="11" hidden="0" customWidth="1"/>
    <x:col min="6" max="6" width="13" hidden="0" customWidth="1"/>
    <x:col min="7" max="7" width="17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30" hidden="0" customWidth="1"/>
  </x:cols>
  <x:sheetData>
    <x:row r="1" ht="30" customHeight="1">
      <x:c r="A1" s="4" t="str">
        <x:v>10道工序排程时间线（先完成第一阶段，再决定第二阶段顺序）</x:v>
      </x:c>
      <x:c r="B1" s="4" t="str">
        <x:v>10道工序排程时间线（先完成第一阶段，再决定第二阶段顺序）</x:v>
      </x:c>
      <x:c r="C1" s="4" t="str">
        <x:v>10道工序排程时间线（先完成第一阶段，再决定第二阶段顺序）</x:v>
      </x:c>
      <x:c r="D1" s="4" t="str">
        <x:v>10道工序排程时间线（先完成第一阶段，再决定第二阶段顺序）</x:v>
      </x:c>
      <x:c r="E1" s="4" t="str">
        <x:v>10道工序排程时间线（先完成第一阶段，再决定第二阶段顺序）</x:v>
      </x:c>
      <x:c r="F1" s="4" t="str">
        <x:v>10道工序排程时间线（先完成第一阶段，再决定第二阶段顺序）</x:v>
      </x:c>
      <x:c r="G1" s="4" t="str">
        <x:v>10道工序排程时间线（先完成第一阶段，再决定第二阶段顺序）</x:v>
      </x:c>
      <x:c r="H1" s="4" t="str">
        <x:v>10道工序排程时间线（先完成第一阶段，再决定第二阶段顺序）</x:v>
      </x:c>
      <x:c r="I1" s="4" t="str">
        <x:v>10道工序排程时间线（先完成第一阶段，再决定第二阶段顺序）</x:v>
      </x:c>
      <x:c r="J1" s="4" t="str">
        <x:v>10道工序排程时间线（先完成第一阶段，再决定第二阶段顺序）</x:v>
      </x:c>
      <x:c r="K1" s="4" t="str">
        <x:v>10道工序排程时间线（先完成第一阶段，再决定第二阶段顺序）</x:v>
      </x:c>
      <x:c r="L1" s="4" t="str">
        <x:v>10道工序排程时间线（先完成第一阶段，再决定第二阶段顺序）</x:v>
      </x:c>
      <x:c r="M1" s="4" t="str">
        <x:v>10道工序排程时间线（先完成第一阶段，再决定第二阶段顺序）</x:v>
      </x:c>
      <x:c r="N1" s="4" t="str">
        <x:v>10道工序排程时间线（先完成第一阶段，再决定第二阶段顺序）</x:v>
      </x:c>
      <x:c r="O1" s="4" t="str">
        <x:v>10道工序排程时间线（先完成第一阶段，再决定第二阶段顺序）</x:v>
      </x:c>
      <x:c r="P1" s="4" t="str">
        <x:v>10道工序排程时间线（先完成第一阶段，再决定第二阶段顺序）</x:v>
      </x:c>
      <x:c r="Q1" s="4" t="str">
        <x:v>10道工序排程时间线（先完成第一阶段，再决定第二阶段顺序）</x:v>
      </x:c>
    </x:row>
    <x:row r="3">
      <x:c r="A3" s="10" t="str">
        <x:v>序号</x:v>
      </x:c>
      <x:c r="B3" s="10" t="str">
        <x:v>工厂</x:v>
      </x:c>
      <x:c r="C3" s="10" t="str">
        <x:v>阶段</x:v>
      </x:c>
      <x:c r="D3" s="10" t="str">
        <x:v>阶段内次序</x:v>
      </x:c>
      <x:c r="E3" s="10" t="str">
        <x:v>工件</x:v>
      </x:c>
      <x:c r="F3" s="10" t="str">
        <x:v>局部机器</x:v>
      </x:c>
      <x:c r="G3" s="10" t="str">
        <x:v>工厂内工人ID</x:v>
      </x:c>
      <x:c r="H3" s="10" t="str">
        <x:v>工件前序C</x:v>
      </x:c>
      <x:c r="I3" s="10" t="str">
        <x:v>机器可用</x:v>
      </x:c>
      <x:c r="J3" s="10" t="str">
        <x:v>工人可用</x:v>
      </x:c>
      <x:c r="K3" s="10" t="str">
        <x:v>开始S</x:v>
      </x:c>
      <x:c r="L3" s="10" t="str">
        <x:v>恢复时长</x:v>
      </x:c>
      <x:c r="M3" s="10" t="str">
        <x:v>Fbefore</x:v>
      </x:c>
      <x:c r="N3" s="10" t="str">
        <x:v>Fstart</x:v>
      </x:c>
      <x:c r="O3" s="10" t="str">
        <x:v>结束C</x:v>
      </x:c>
      <x:c r="P3" s="10" t="str">
        <x:v>机器空闲</x:v>
      </x:c>
      <x:c r="Q3" s="10" t="str">
        <x:v>本人备注</x:v>
      </x:c>
    </x:row>
    <x:row r="4">
      <x:c r="A4" s="15" t="n">
        <x:v>1</x:v>
      </x:c>
      <x:c r="B4" s="15" t="n">
        <x:v>1</x:v>
      </x:c>
      <x:c r="C4" s="15" t="n">
        <x:v>1</x:v>
      </x:c>
      <x:c r="D4" s="15" t="n">
        <x:v>1</x:v>
      </x:c>
      <x:c r="E4" s="15" t="n">
        <x:v>3</x:v>
      </x:c>
      <x:c r="F4" s="15" t="n">
        <x:v>1</x:v>
      </x:c>
      <x:c r="G4" s="15" t="n">
        <x:v>1</x:v>
      </x:c>
      <x:c r="H4" s="84"/>
      <x:c r="I4" s="84"/>
      <x:c r="J4" s="84"/>
      <x:c r="K4" s="84"/>
      <x:c r="L4" s="84"/>
      <x:c r="M4" s="84"/>
      <x:c r="N4" s="84"/>
      <x:c r="O4" s="84"/>
      <x:c r="P4" s="84"/>
      <x:c r="Q4" s="85"/>
    </x:row>
    <x:row r="5">
      <x:c r="A5" s="15" t="n">
        <x:v>2</x:v>
      </x:c>
      <x:c r="B5" s="15" t="n">
        <x:v>1</x:v>
      </x:c>
      <x:c r="C5" s="15" t="n">
        <x:v>1</x:v>
      </x:c>
      <x:c r="D5" s="15" t="n">
        <x:v>2</x:v>
      </x:c>
      <x:c r="E5" s="15" t="n">
        <x:v>4</x:v>
      </x:c>
      <x:c r="F5" s="15" t="n">
        <x:v>1</x:v>
      </x:c>
      <x:c r="G5" s="15" t="n">
        <x:v>2</x:v>
      </x:c>
      <x:c r="H5" s="84"/>
      <x:c r="I5" s="84"/>
      <x:c r="J5" s="84"/>
      <x:c r="K5" s="84"/>
      <x:c r="L5" s="84"/>
      <x:c r="M5" s="84"/>
      <x:c r="N5" s="84"/>
      <x:c r="O5" s="84"/>
      <x:c r="P5" s="84"/>
      <x:c r="Q5" s="85"/>
    </x:row>
    <x:row r="6">
      <x:c r="A6" s="15" t="n">
        <x:v>3</x:v>
      </x:c>
      <x:c r="B6" s="15" t="n">
        <x:v>1</x:v>
      </x:c>
      <x:c r="C6" s="15" t="n">
        <x:v>1</x:v>
      </x:c>
      <x:c r="D6" s="15" t="n">
        <x:v>3</x:v>
      </x:c>
      <x:c r="E6" s="15" t="n">
        <x:v>5</x:v>
      </x:c>
      <x:c r="F6" s="15" t="n">
        <x:v>2</x:v>
      </x:c>
      <x:c r="G6" s="15" t="n">
        <x:v>2</x:v>
      </x:c>
      <x:c r="H6" s="84"/>
      <x:c r="I6" s="84"/>
      <x:c r="J6" s="84"/>
      <x:c r="K6" s="84"/>
      <x:c r="L6" s="84"/>
      <x:c r="M6" s="84"/>
      <x:c r="N6" s="84"/>
      <x:c r="O6" s="84"/>
      <x:c r="P6" s="84"/>
      <x:c r="Q6" s="85"/>
    </x:row>
    <x:row r="7">
      <x:c r="A7" s="15" t="n">
        <x:v>4</x:v>
      </x:c>
      <x:c r="B7" s="15" t="n">
        <x:v>1</x:v>
      </x:c>
      <x:c r="C7" s="15" t="n">
        <x:v>2</x:v>
      </x:c>
      <x:c r="D7" s="15" t="n">
        <x:v>1</x:v>
      </x:c>
      <x:c r="E7" s="83"/>
      <x:c r="F7" s="83"/>
      <x:c r="G7" s="83"/>
      <x:c r="H7" s="84"/>
      <x:c r="I7" s="84"/>
      <x:c r="J7" s="84"/>
      <x:c r="K7" s="84"/>
      <x:c r="L7" s="84"/>
      <x:c r="M7" s="84"/>
      <x:c r="N7" s="84"/>
      <x:c r="O7" s="84"/>
      <x:c r="P7" s="84"/>
      <x:c r="Q7" s="85"/>
    </x:row>
    <x:row r="8">
      <x:c r="A8" s="15" t="n">
        <x:v>5</x:v>
      </x:c>
      <x:c r="B8" s="15" t="n">
        <x:v>1</x:v>
      </x:c>
      <x:c r="C8" s="15" t="n">
        <x:v>2</x:v>
      </x:c>
      <x:c r="D8" s="15" t="n">
        <x:v>2</x:v>
      </x:c>
      <x:c r="E8" s="83"/>
      <x:c r="F8" s="83"/>
      <x:c r="G8" s="83"/>
      <x:c r="H8" s="84"/>
      <x:c r="I8" s="84"/>
      <x:c r="J8" s="84"/>
      <x:c r="K8" s="84"/>
      <x:c r="L8" s="84"/>
      <x:c r="M8" s="84"/>
      <x:c r="N8" s="84"/>
      <x:c r="O8" s="84"/>
      <x:c r="P8" s="84"/>
      <x:c r="Q8" s="85"/>
    </x:row>
    <x:row r="9">
      <x:c r="A9" s="15" t="n">
        <x:v>6</x:v>
      </x:c>
      <x:c r="B9" s="15" t="n">
        <x:v>1</x:v>
      </x:c>
      <x:c r="C9" s="15" t="n">
        <x:v>2</x:v>
      </x:c>
      <x:c r="D9" s="15" t="n">
        <x:v>3</x:v>
      </x:c>
      <x:c r="E9" s="83"/>
      <x:c r="F9" s="83"/>
      <x:c r="G9" s="83"/>
      <x:c r="H9" s="84"/>
      <x:c r="I9" s="84"/>
      <x:c r="J9" s="84"/>
      <x:c r="K9" s="84"/>
      <x:c r="L9" s="84"/>
      <x:c r="M9" s="84"/>
      <x:c r="N9" s="84"/>
      <x:c r="O9" s="84"/>
      <x:c r="P9" s="84"/>
      <x:c r="Q9" s="85"/>
    </x:row>
    <x:row r="10">
      <x:c r="A10" s="15" t="n">
        <x:v>7</x:v>
      </x:c>
      <x:c r="B10" s="15" t="n">
        <x:v>2</x:v>
      </x:c>
      <x:c r="C10" s="15" t="n">
        <x:v>1</x:v>
      </x:c>
      <x:c r="D10" s="15" t="n">
        <x:v>1</x:v>
      </x:c>
      <x:c r="E10" s="15" t="n">
        <x:v>1</x:v>
      </x:c>
      <x:c r="F10" s="15" t="n">
        <x:v>1</x:v>
      </x:c>
      <x:c r="G10" s="15" t="n">
        <x:v>1</x:v>
      </x:c>
      <x:c r="H10" s="84"/>
      <x:c r="I10" s="84"/>
      <x:c r="J10" s="84"/>
      <x:c r="K10" s="84"/>
      <x:c r="L10" s="84"/>
      <x:c r="M10" s="84"/>
      <x:c r="N10" s="84"/>
      <x:c r="O10" s="84"/>
      <x:c r="P10" s="84"/>
      <x:c r="Q10" s="85"/>
    </x:row>
    <x:row r="11">
      <x:c r="A11" s="15" t="n">
        <x:v>8</x:v>
      </x:c>
      <x:c r="B11" s="15" t="n">
        <x:v>2</x:v>
      </x:c>
      <x:c r="C11" s="15" t="n">
        <x:v>1</x:v>
      </x:c>
      <x:c r="D11" s="15" t="n">
        <x:v>2</x:v>
      </x:c>
      <x:c r="E11" s="15" t="n">
        <x:v>2</x:v>
      </x:c>
      <x:c r="F11" s="15" t="n">
        <x:v>1</x:v>
      </x:c>
      <x:c r="G11" s="15" t="n">
        <x:v>1</x:v>
      </x:c>
      <x:c r="H11" s="84"/>
      <x:c r="I11" s="84"/>
      <x:c r="J11" s="84"/>
      <x:c r="K11" s="84"/>
      <x:c r="L11" s="84"/>
      <x:c r="M11" s="84"/>
      <x:c r="N11" s="84"/>
      <x:c r="O11" s="84"/>
      <x:c r="P11" s="84"/>
      <x:c r="Q11" s="85"/>
    </x:row>
    <x:row r="12">
      <x:c r="A12" s="15" t="n">
        <x:v>9</x:v>
      </x:c>
      <x:c r="B12" s="15" t="n">
        <x:v>2</x:v>
      </x:c>
      <x:c r="C12" s="15" t="n">
        <x:v>2</x:v>
      </x:c>
      <x:c r="D12" s="15" t="n">
        <x:v>1</x:v>
      </x:c>
      <x:c r="E12" s="83"/>
      <x:c r="F12" s="83"/>
      <x:c r="G12" s="83"/>
      <x:c r="H12" s="84"/>
      <x:c r="I12" s="84"/>
      <x:c r="J12" s="84"/>
      <x:c r="K12" s="84"/>
      <x:c r="L12" s="84"/>
      <x:c r="M12" s="84"/>
      <x:c r="N12" s="84"/>
      <x:c r="O12" s="84"/>
      <x:c r="P12" s="84"/>
      <x:c r="Q12" s="85"/>
    </x:row>
    <x:row r="13">
      <x:c r="A13" s="15" t="n">
        <x:v>10</x:v>
      </x:c>
      <x:c r="B13" s="15" t="n">
        <x:v>2</x:v>
      </x:c>
      <x:c r="C13" s="15" t="n">
        <x:v>2</x:v>
      </x:c>
      <x:c r="D13" s="15" t="n">
        <x:v>2</x:v>
      </x:c>
      <x:c r="E13" s="83"/>
      <x:c r="F13" s="83"/>
      <x:c r="G13" s="83"/>
      <x:c r="H13" s="84"/>
      <x:c r="I13" s="84"/>
      <x:c r="J13" s="84"/>
      <x:c r="K13" s="84"/>
      <x:c r="L13" s="84"/>
      <x:c r="M13" s="84"/>
      <x:c r="N13" s="84"/>
      <x:c r="O13" s="84"/>
      <x:c r="P13" s="84"/>
      <x:c r="Q13" s="85"/>
    </x:row>
    <x:row r="16">
      <x:c r="A16" s="20" t="str">
        <x:v>第二阶段填写方法：先把本工厂第一阶段工件按结束时间升序排列；并列时保留上一阶段次序，再按较小工件号。阶段2第一个工件使用M1；后续工件选择当时可用时间最早的机器。工人不能直接填，必须先在“阶段2候选比较”中比较合法工人。</x:v>
      </x:c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</x:row>
  </x:sheetData>
  <x:mergeCells>
    <x:mergeCell ref="A1:Q1"/>
    <x:mergeCell ref="A16:Q1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0" hidden="0" customWidth="1"/>
    <x:col min="4" max="4" width="12" hidden="0" customWidth="1"/>
    <x:col min="5" max="5" width="16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  <x:col min="11" max="11" width="14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6" hidden="0" customWidth="1"/>
    <x:col min="17" max="17" width="12" hidden="0" customWidth="1"/>
    <x:col min="18" max="18" width="16" hidden="0" customWidth="1"/>
    <x:col min="19" max="19" width="12" hidden="0" customWidth="1"/>
    <x:col min="20" max="20" width="30" hidden="0" customWidth="1"/>
  </x:cols>
  <x:sheetData>
    <x:row r="1" ht="30" customHeight="1">
      <x:c r="A1" s="4" t="str">
        <x:v>第二阶段疲劳感知工人选择：每个工件比较两个合法工人</x:v>
      </x:c>
      <x:c r="B1" s="4" t="str">
        <x:v>第二阶段疲劳感知工人选择：每个工件比较两个合法工人</x:v>
      </x:c>
      <x:c r="C1" s="4" t="str">
        <x:v>第二阶段疲劳感知工人选择：每个工件比较两个合法工人</x:v>
      </x:c>
      <x:c r="D1" s="4" t="str">
        <x:v>第二阶段疲劳感知工人选择：每个工件比较两个合法工人</x:v>
      </x:c>
      <x:c r="E1" s="4" t="str">
        <x:v>第二阶段疲劳感知工人选择：每个工件比较两个合法工人</x:v>
      </x:c>
      <x:c r="F1" s="4" t="str">
        <x:v>第二阶段疲劳感知工人选择：每个工件比较两个合法工人</x:v>
      </x:c>
      <x:c r="G1" s="4" t="str">
        <x:v>第二阶段疲劳感知工人选择：每个工件比较两个合法工人</x:v>
      </x:c>
      <x:c r="H1" s="4" t="str">
        <x:v>第二阶段疲劳感知工人选择：每个工件比较两个合法工人</x:v>
      </x:c>
      <x:c r="I1" s="4" t="str">
        <x:v>第二阶段疲劳感知工人选择：每个工件比较两个合法工人</x:v>
      </x:c>
      <x:c r="J1" s="4" t="str">
        <x:v>第二阶段疲劳感知工人选择：每个工件比较两个合法工人</x:v>
      </x:c>
      <x:c r="K1" s="4" t="str">
        <x:v>第二阶段疲劳感知工人选择：每个工件比较两个合法工人</x:v>
      </x:c>
      <x:c r="L1" s="4" t="str">
        <x:v>第二阶段疲劳感知工人选择：每个工件比较两个合法工人</x:v>
      </x:c>
      <x:c r="M1" s="4" t="str">
        <x:v>第二阶段疲劳感知工人选择：每个工件比较两个合法工人</x:v>
      </x:c>
      <x:c r="N1" s="4" t="str">
        <x:v>第二阶段疲劳感知工人选择：每个工件比较两个合法工人</x:v>
      </x:c>
      <x:c r="O1" s="4" t="str">
        <x:v>第二阶段疲劳感知工人选择：每个工件比较两个合法工人</x:v>
      </x:c>
      <x:c r="P1" s="4" t="str">
        <x:v>第二阶段疲劳感知工人选择：每个工件比较两个合法工人</x:v>
      </x:c>
      <x:c r="Q1" s="4" t="str">
        <x:v>第二阶段疲劳感知工人选择：每个工件比较两个合法工人</x:v>
      </x:c>
      <x:c r="R1" s="4" t="str">
        <x:v>第二阶段疲劳感知工人选择：每个工件比较两个合法工人</x:v>
      </x:c>
      <x:c r="S1" s="4" t="str">
        <x:v>第二阶段疲劳感知工人选择：每个工件比较两个合法工人</x:v>
      </x:c>
      <x:c r="T1" s="4" t="str">
        <x:v>第二阶段疲劳感知工人选择：每个工件比较两个合法工人</x:v>
      </x:c>
    </x:row>
    <x:row r="3">
      <x:c r="A3" s="10" t="str">
        <x:v>工厂</x:v>
      </x:c>
      <x:c r="B3" s="10" t="str">
        <x:v>阶段2次序</x:v>
      </x:c>
      <x:c r="C3" s="10" t="str">
        <x:v>工件</x:v>
      </x:c>
      <x:c r="D3" s="10" t="str">
        <x:v>局部机器</x:v>
      </x:c>
      <x:c r="E3" s="10" t="str">
        <x:v>候选工人ID</x:v>
      </x:c>
      <x:c r="F3" s="10" t="str">
        <x:v>工件前序C</x:v>
      </x:c>
      <x:c r="G3" s="10" t="str">
        <x:v>机器可用</x:v>
      </x:c>
      <x:c r="H3" s="10" t="str">
        <x:v>工人可用</x:v>
      </x:c>
      <x:c r="I3" s="10" t="str">
        <x:v>Fbefore</x:v>
      </x:c>
      <x:c r="J3" s="10" t="str">
        <x:v>恢复时长</x:v>
      </x:c>
      <x:c r="K3" s="10" t="str">
        <x:v>Fstart</x:v>
      </x:c>
      <x:c r="L3" s="10" t="str">
        <x:v>ST</x:v>
      </x:c>
      <x:c r="M3" s="10" t="str">
        <x:v>SUT</x:v>
      </x:c>
      <x:c r="N3" s="10" t="str">
        <x:v>MS</x:v>
      </x:c>
      <x:c r="O3" s="10" t="str">
        <x:v>WE</x:v>
      </x:c>
      <x:c r="P3" s="10" t="str">
        <x:v>PT0+SET0</x:v>
      </x:c>
      <x:c r="Q3" s="10" t="str">
        <x:v>倍率</x:v>
      </x:c>
      <x:c r="R3" s="10" t="str">
        <x:v>候选结束C</x:v>
      </x:c>
      <x:c r="S3" s="10" t="str">
        <x:v>是否最小</x:v>
      </x:c>
      <x:c r="T3" s="10" t="str">
        <x:v>选择说明</x:v>
      </x:c>
    </x:row>
    <x:row r="4">
      <x:c r="A4" s="15" t="n">
        <x:v>1</x:v>
      </x:c>
      <x:c r="B4" s="15" t="n">
        <x:v>1</x:v>
      </x:c>
      <x:c r="C4" s="84"/>
      <x:c r="D4" s="84"/>
      <x:c r="E4" s="15" t="n">
        <x:v>3</x:v>
      </x:c>
      <x:c r="F4" s="84"/>
      <x:c r="G4" s="84"/>
      <x:c r="H4" s="84"/>
      <x:c r="I4" s="84"/>
      <x:c r="J4" s="84"/>
      <x:c r="K4" s="84"/>
      <x:c r="L4" s="84"/>
      <x:c r="M4" s="84"/>
      <x:c r="N4" s="84"/>
      <x:c r="O4" s="84"/>
      <x:c r="P4" s="84"/>
      <x:c r="Q4" s="84"/>
      <x:c r="R4" s="84"/>
      <x:c r="S4" s="84"/>
      <x:c r="T4" s="83"/>
    </x:row>
    <x:row r="5">
      <x:c r="A5" s="15" t="n">
        <x:v>1</x:v>
      </x:c>
      <x:c r="B5" s="15" t="n">
        <x:v>1</x:v>
      </x:c>
      <x:c r="C5" s="84"/>
      <x:c r="D5" s="84"/>
      <x:c r="E5" s="15" t="n">
        <x:v>4</x:v>
      </x:c>
      <x:c r="F5" s="84"/>
      <x:c r="G5" s="84"/>
      <x:c r="H5" s="84"/>
      <x:c r="I5" s="84"/>
      <x:c r="J5" s="84"/>
      <x:c r="K5" s="84"/>
      <x:c r="L5" s="84"/>
      <x:c r="M5" s="84"/>
      <x:c r="N5" s="84"/>
      <x:c r="O5" s="84"/>
      <x:c r="P5" s="84"/>
      <x:c r="Q5" s="84"/>
      <x:c r="R5" s="84"/>
      <x:c r="S5" s="84"/>
      <x:c r="T5" s="83"/>
    </x:row>
    <x:row r="6">
      <x:c r="A6" s="15" t="n">
        <x:v>1</x:v>
      </x:c>
      <x:c r="B6" s="15" t="n">
        <x:v>2</x:v>
      </x:c>
      <x:c r="C6" s="84"/>
      <x:c r="D6" s="84"/>
      <x:c r="E6" s="15" t="n">
        <x:v>3</x:v>
      </x:c>
      <x:c r="F6" s="84"/>
      <x:c r="G6" s="84"/>
      <x:c r="H6" s="84"/>
      <x:c r="I6" s="84"/>
      <x:c r="J6" s="84"/>
      <x:c r="K6" s="84"/>
      <x:c r="L6" s="84"/>
      <x:c r="M6" s="84"/>
      <x:c r="N6" s="84"/>
      <x:c r="O6" s="84"/>
      <x:c r="P6" s="84"/>
      <x:c r="Q6" s="84"/>
      <x:c r="R6" s="84"/>
      <x:c r="S6" s="84"/>
      <x:c r="T6" s="83"/>
    </x:row>
    <x:row r="7">
      <x:c r="A7" s="15" t="n">
        <x:v>1</x:v>
      </x:c>
      <x:c r="B7" s="15" t="n">
        <x:v>2</x:v>
      </x:c>
      <x:c r="C7" s="84"/>
      <x:c r="D7" s="84"/>
      <x:c r="E7" s="15" t="n">
        <x:v>4</x:v>
      </x:c>
      <x:c r="F7" s="84"/>
      <x:c r="G7" s="84"/>
      <x:c r="H7" s="84"/>
      <x:c r="I7" s="84"/>
      <x:c r="J7" s="84"/>
      <x:c r="K7" s="84"/>
      <x:c r="L7" s="84"/>
      <x:c r="M7" s="84"/>
      <x:c r="N7" s="84"/>
      <x:c r="O7" s="84"/>
      <x:c r="P7" s="84"/>
      <x:c r="Q7" s="84"/>
      <x:c r="R7" s="84"/>
      <x:c r="S7" s="84"/>
      <x:c r="T7" s="83"/>
    </x:row>
    <x:row r="8">
      <x:c r="A8" s="15" t="n">
        <x:v>1</x:v>
      </x:c>
      <x:c r="B8" s="15" t="n">
        <x:v>3</x:v>
      </x:c>
      <x:c r="C8" s="84"/>
      <x:c r="D8" s="84"/>
      <x:c r="E8" s="15" t="n">
        <x:v>3</x:v>
      </x:c>
      <x:c r="F8" s="84"/>
      <x:c r="G8" s="84"/>
      <x:c r="H8" s="84"/>
      <x:c r="I8" s="84"/>
      <x:c r="J8" s="84"/>
      <x:c r="K8" s="84"/>
      <x:c r="L8" s="84"/>
      <x:c r="M8" s="84"/>
      <x:c r="N8" s="84"/>
      <x:c r="O8" s="84"/>
      <x:c r="P8" s="84"/>
      <x:c r="Q8" s="84"/>
      <x:c r="R8" s="84"/>
      <x:c r="S8" s="84"/>
      <x:c r="T8" s="83"/>
    </x:row>
    <x:row r="9">
      <x:c r="A9" s="15" t="n">
        <x:v>1</x:v>
      </x:c>
      <x:c r="B9" s="15" t="n">
        <x:v>3</x:v>
      </x:c>
      <x:c r="C9" s="84"/>
      <x:c r="D9" s="84"/>
      <x:c r="E9" s="15" t="n">
        <x:v>4</x:v>
      </x:c>
      <x:c r="F9" s="84"/>
      <x:c r="G9" s="84"/>
      <x:c r="H9" s="84"/>
      <x:c r="I9" s="84"/>
      <x:c r="J9" s="84"/>
      <x:c r="K9" s="84"/>
      <x:c r="L9" s="84"/>
      <x:c r="M9" s="84"/>
      <x:c r="N9" s="84"/>
      <x:c r="O9" s="84"/>
      <x:c r="P9" s="84"/>
      <x:c r="Q9" s="84"/>
      <x:c r="R9" s="84"/>
      <x:c r="S9" s="84"/>
      <x:c r="T9" s="83"/>
    </x:row>
    <x:row r="10">
      <x:c r="A10" s="15" t="n">
        <x:v>2</x:v>
      </x:c>
      <x:c r="B10" s="15" t="n">
        <x:v>1</x:v>
      </x:c>
      <x:c r="C10" s="84"/>
      <x:c r="D10" s="84"/>
      <x:c r="E10" s="15" t="n">
        <x:v>3</x:v>
      </x:c>
      <x:c r="F10" s="84"/>
      <x:c r="G10" s="84"/>
      <x:c r="H10" s="84"/>
      <x:c r="I10" s="84"/>
      <x:c r="J10" s="84"/>
      <x:c r="K10" s="84"/>
      <x:c r="L10" s="84"/>
      <x:c r="M10" s="84"/>
      <x:c r="N10" s="84"/>
      <x:c r="O10" s="84"/>
      <x:c r="P10" s="84"/>
      <x:c r="Q10" s="84"/>
      <x:c r="R10" s="84"/>
      <x:c r="S10" s="84"/>
      <x:c r="T10" s="83"/>
    </x:row>
    <x:row r="11">
      <x:c r="A11" s="15" t="n">
        <x:v>2</x:v>
      </x:c>
      <x:c r="B11" s="15" t="n">
        <x:v>1</x:v>
      </x:c>
      <x:c r="C11" s="84"/>
      <x:c r="D11" s="84"/>
      <x:c r="E11" s="15" t="n">
        <x:v>4</x:v>
      </x:c>
      <x:c r="F11" s="84"/>
      <x:c r="G11" s="84"/>
      <x:c r="H11" s="84"/>
      <x:c r="I11" s="84"/>
      <x:c r="J11" s="84"/>
      <x:c r="K11" s="84"/>
      <x:c r="L11" s="84"/>
      <x:c r="M11" s="84"/>
      <x:c r="N11" s="84"/>
      <x:c r="O11" s="84"/>
      <x:c r="P11" s="84"/>
      <x:c r="Q11" s="84"/>
      <x:c r="R11" s="84"/>
      <x:c r="S11" s="84"/>
      <x:c r="T11" s="83"/>
    </x:row>
    <x:row r="12">
      <x:c r="A12" s="15" t="n">
        <x:v>2</x:v>
      </x:c>
      <x:c r="B12" s="15" t="n">
        <x:v>2</x:v>
      </x:c>
      <x:c r="C12" s="84"/>
      <x:c r="D12" s="84"/>
      <x:c r="E12" s="15" t="n">
        <x:v>3</x:v>
      </x:c>
      <x:c r="F12" s="84"/>
      <x:c r="G12" s="84"/>
      <x:c r="H12" s="84"/>
      <x:c r="I12" s="84"/>
      <x:c r="J12" s="84"/>
      <x:c r="K12" s="84"/>
      <x:c r="L12" s="84"/>
      <x:c r="M12" s="84"/>
      <x:c r="N12" s="84"/>
      <x:c r="O12" s="84"/>
      <x:c r="P12" s="84"/>
      <x:c r="Q12" s="84"/>
      <x:c r="R12" s="84"/>
      <x:c r="S12" s="84"/>
      <x:c r="T12" s="83"/>
    </x:row>
    <x:row r="13">
      <x:c r="A13" s="15" t="n">
        <x:v>2</x:v>
      </x:c>
      <x:c r="B13" s="15" t="n">
        <x:v>2</x:v>
      </x:c>
      <x:c r="C13" s="84"/>
      <x:c r="D13" s="84"/>
      <x:c r="E13" s="15" t="n">
        <x:v>4</x:v>
      </x:c>
      <x:c r="F13" s="84"/>
      <x:c r="G13" s="84"/>
      <x:c r="H13" s="84"/>
      <x:c r="I13" s="84"/>
      <x:c r="J13" s="84"/>
      <x:c r="K13" s="84"/>
      <x:c r="L13" s="84"/>
      <x:c r="M13" s="84"/>
      <x:c r="N13" s="84"/>
      <x:c r="O13" s="84"/>
      <x:c r="P13" s="84"/>
      <x:c r="Q13" s="84"/>
      <x:c r="R13" s="84"/>
      <x:c r="S13" s="84"/>
      <x:c r="T13" s="83"/>
    </x:row>
    <x:row r="16">
      <x:c r="A16" s="20" t="str">
        <x:v>当前FM3选择标准是候选的疲劳修正结束时间C最小，而不是只比较工人可用时间或基础工时。两名候选结束时间相同时，选择较小的工厂内统一工人ID。候选计算使用同一个序列无关SUT。</x:v>
      </x:c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</x:row>
  </x:sheetData>
  <x:mergeCells>
    <x:mergeCell ref="A1:T1"/>
    <x:mergeCell ref="A16:T19"/>
  </x:mergeCells>
  <x:dataValidations count="1">
    <x:dataValidation type="list" sqref="S4:S13">
      <x:formula1>"是,否"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9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16" hidden="0" customWidth="1"/>
    <x:col min="10" max="10" width="18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5" hidden="0" customWidth="1"/>
    <x:col min="22" max="22" width="12" hidden="0" customWidth="1"/>
    <x:col min="23" max="23" width="15" hidden="0" customWidth="1"/>
  </x:cols>
  <x:sheetData>
    <x:row r="1" ht="30" customHeight="1">
      <x:c r="A1" s="4" t="str">
        <x:v>逐工序工时、疲劳、能耗和成本（与排程时间线按序号对应）</x:v>
      </x:c>
      <x:c r="B1" s="4" t="str">
        <x:v>逐工序工时、疲劳、能耗和成本（与排程时间线按序号对应）</x:v>
      </x:c>
      <x:c r="C1" s="4" t="str">
        <x:v>逐工序工时、疲劳、能耗和成本（与排程时间线按序号对应）</x:v>
      </x:c>
      <x:c r="D1" s="4" t="str">
        <x:v>逐工序工时、疲劳、能耗和成本（与排程时间线按序号对应）</x:v>
      </x:c>
      <x:c r="E1" s="4" t="str">
        <x:v>逐工序工时、疲劳、能耗和成本（与排程时间线按序号对应）</x:v>
      </x:c>
      <x:c r="F1" s="4" t="str">
        <x:v>逐工序工时、疲劳、能耗和成本（与排程时间线按序号对应）</x:v>
      </x:c>
      <x:c r="G1" s="4" t="str">
        <x:v>逐工序工时、疲劳、能耗和成本（与排程时间线按序号对应）</x:v>
      </x:c>
      <x:c r="H1" s="4" t="str">
        <x:v>逐工序工时、疲劳、能耗和成本（与排程时间线按序号对应）</x:v>
      </x:c>
      <x:c r="I1" s="4" t="str">
        <x:v>逐工序工时、疲劳、能耗和成本（与排程时间线按序号对应）</x:v>
      </x:c>
      <x:c r="J1" s="4" t="str">
        <x:v>逐工序工时、疲劳、能耗和成本（与排程时间线按序号对应）</x:v>
      </x:c>
      <x:c r="K1" s="4" t="str">
        <x:v>逐工序工时、疲劳、能耗和成本（与排程时间线按序号对应）</x:v>
      </x:c>
      <x:c r="L1" s="4" t="str">
        <x:v>逐工序工时、疲劳、能耗和成本（与排程时间线按序号对应）</x:v>
      </x:c>
      <x:c r="M1" s="4" t="str">
        <x:v>逐工序工时、疲劳、能耗和成本（与排程时间线按序号对应）</x:v>
      </x:c>
      <x:c r="N1" s="4" t="str">
        <x:v>逐工序工时、疲劳、能耗和成本（与排程时间线按序号对应）</x:v>
      </x:c>
      <x:c r="O1" s="4" t="str">
        <x:v>逐工序工时、疲劳、能耗和成本（与排程时间线按序号对应）</x:v>
      </x:c>
      <x:c r="P1" s="4" t="str">
        <x:v>逐工序工时、疲劳、能耗和成本（与排程时间线按序号对应）</x:v>
      </x:c>
      <x:c r="Q1" s="4" t="str">
        <x:v>逐工序工时、疲劳、能耗和成本（与排程时间线按序号对应）</x:v>
      </x:c>
      <x:c r="R1" s="4" t="str">
        <x:v>逐工序工时、疲劳、能耗和成本（与排程时间线按序号对应）</x:v>
      </x:c>
      <x:c r="S1" s="4" t="str">
        <x:v>逐工序工时、疲劳、能耗和成本（与排程时间线按序号对应）</x:v>
      </x:c>
      <x:c r="T1" s="4" t="str">
        <x:v>逐工序工时、疲劳、能耗和成本（与排程时间线按序号对应）</x:v>
      </x:c>
      <x:c r="U1" s="4" t="str">
        <x:v>逐工序工时、疲劳、能耗和成本（与排程时间线按序号对应）</x:v>
      </x:c>
      <x:c r="V1" s="4" t="str">
        <x:v>逐工序工时、疲劳、能耗和成本（与排程时间线按序号对应）</x:v>
      </x:c>
      <x:c r="W1" s="4" t="str">
        <x:v>逐工序工时、疲劳、能耗和成本（与排程时间线按序号对应）</x:v>
      </x:c>
    </x:row>
    <x:row r="3">
      <x:c r="A3" s="10" t="str">
        <x:v>序号</x:v>
      </x:c>
      <x:c r="B3" s="10" t="str">
        <x:v>工件</x:v>
      </x:c>
      <x:c r="C3" s="10" t="str">
        <x:v>阶段</x:v>
      </x:c>
      <x:c r="D3" s="10" t="str">
        <x:v>ST</x:v>
      </x:c>
      <x:c r="E3" s="10" t="str">
        <x:v>SUT</x:v>
      </x:c>
      <x:c r="F3" s="10" t="str">
        <x:v>MS</x:v>
      </x:c>
      <x:c r="G3" s="10" t="str">
        <x:v>WE</x:v>
      </x:c>
      <x:c r="H3" s="10" t="str">
        <x:v>lambda</x:v>
      </x:c>
      <x:c r="I3" s="10" t="str">
        <x:v>恢复所用mu</x:v>
      </x:c>
      <x:c r="J3" s="10" t="str">
        <x:v>r</x:v>
      </x:c>
      <x:c r="K3" s="10" t="str">
        <x:v>PT0</x:v>
      </x:c>
      <x:c r="L3" s="10" t="str">
        <x:v>SET0</x:v>
      </x:c>
      <x:c r="M3" s="10" t="str">
        <x:v>AT0</x:v>
      </x:c>
      <x:c r="N3" s="10" t="str">
        <x:v>倍率q</x:v>
      </x:c>
      <x:c r="O3" s="10" t="str">
        <x:v>实际PT</x:v>
      </x:c>
      <x:c r="P3" s="10" t="str">
        <x:v>实际SET</x:v>
      </x:c>
      <x:c r="Q3" s="10" t="str">
        <x:v>实际AT</x:v>
      </x:c>
      <x:c r="R3" s="10" t="str">
        <x:v>Fafter</x:v>
      </x:c>
      <x:c r="S3" s="10" t="str">
        <x:v>机器功率</x:v>
      </x:c>
      <x:c r="T3" s="10" t="str">
        <x:v>机器空闲</x:v>
      </x:c>
      <x:c r="U3" s="10" t="str">
        <x:v>Energy</x:v>
      </x:c>
      <x:c r="V3" s="10" t="str">
        <x:v>成本率</x:v>
      </x:c>
      <x:c r="W3" s="10" t="str">
        <x:v>Cost</x:v>
      </x:c>
    </x:row>
    <x:row r="4">
      <x:c r="A4" s="15" t="n">
        <x:v>1</x:v>
      </x:c>
      <x:c r="B4" s="15" t="n">
        <x:f>IF('排程时间线'!E4="","",'排程时间线'!E4)</x:f>
        <x:v>3</x:v>
      </x:c>
      <x:c r="C4" s="15" t="n">
        <x:f>IF('排程时间线'!C4="","",'排程时间线'!C4)</x:f>
        <x:v>1</x:v>
      </x:c>
      <x:c r="D4" s="84"/>
      <x:c r="E4" s="84"/>
      <x:c r="F4" s="84"/>
      <x:c r="G4" s="84"/>
      <x:c r="H4" s="84"/>
      <x:c r="I4" s="84"/>
      <x:c r="J4" s="78" t="n">
        <x:v>0.3</x:v>
      </x:c>
      <x:c r="K4" s="84"/>
      <x:c r="L4" s="84"/>
      <x:c r="M4" s="84"/>
      <x:c r="N4" s="84"/>
      <x:c r="O4" s="84"/>
      <x:c r="P4" s="84"/>
      <x:c r="Q4" s="84"/>
      <x:c r="R4" s="84"/>
      <x:c r="S4" s="84"/>
      <x:c r="T4" s="84"/>
      <x:c r="U4" s="84"/>
      <x:c r="V4" s="84"/>
      <x:c r="W4" s="84"/>
    </x:row>
    <x:row r="5">
      <x:c r="A5" s="15" t="n">
        <x:v>2</x:v>
      </x:c>
      <x:c r="B5" s="15" t="n">
        <x:f>IF('排程时间线'!E5="","",'排程时间线'!E5)</x:f>
        <x:v>4</x:v>
      </x:c>
      <x:c r="C5" s="15" t="n">
        <x:f>IF('排程时间线'!C5="","",'排程时间线'!C5)</x:f>
        <x:v>1</x:v>
      </x:c>
      <x:c r="D5" s="84"/>
      <x:c r="E5" s="84"/>
      <x:c r="F5" s="84"/>
      <x:c r="G5" s="84"/>
      <x:c r="H5" s="84"/>
      <x:c r="I5" s="84"/>
      <x:c r="J5" s="78" t="n">
        <x:v>0.3</x:v>
      </x:c>
      <x:c r="K5" s="84"/>
      <x:c r="L5" s="84"/>
      <x:c r="M5" s="84"/>
      <x:c r="N5" s="84"/>
      <x:c r="O5" s="84"/>
      <x:c r="P5" s="84"/>
      <x:c r="Q5" s="84"/>
      <x:c r="R5" s="84"/>
      <x:c r="S5" s="84"/>
      <x:c r="T5" s="84"/>
      <x:c r="U5" s="84"/>
      <x:c r="V5" s="84"/>
      <x:c r="W5" s="84"/>
    </x:row>
    <x:row r="6">
      <x:c r="A6" s="15" t="n">
        <x:v>3</x:v>
      </x:c>
      <x:c r="B6" s="15" t="n">
        <x:f>IF('排程时间线'!E6="","",'排程时间线'!E6)</x:f>
        <x:v>5</x:v>
      </x:c>
      <x:c r="C6" s="15" t="n">
        <x:f>IF('排程时间线'!C6="","",'排程时间线'!C6)</x:f>
        <x:v>1</x:v>
      </x:c>
      <x:c r="D6" s="84"/>
      <x:c r="E6" s="84"/>
      <x:c r="F6" s="84"/>
      <x:c r="G6" s="84"/>
      <x:c r="H6" s="84"/>
      <x:c r="I6" s="84"/>
      <x:c r="J6" s="78" t="n">
        <x:v>0.3</x:v>
      </x:c>
      <x:c r="K6" s="84"/>
      <x:c r="L6" s="84"/>
      <x:c r="M6" s="84"/>
      <x:c r="N6" s="84"/>
      <x:c r="O6" s="84"/>
      <x:c r="P6" s="84"/>
      <x:c r="Q6" s="84"/>
      <x:c r="R6" s="84"/>
      <x:c r="S6" s="84"/>
      <x:c r="T6" s="84"/>
      <x:c r="U6" s="84"/>
      <x:c r="V6" s="84"/>
      <x:c r="W6" s="84"/>
    </x:row>
    <x:row r="7">
      <x:c r="A7" s="15" t="n">
        <x:v>4</x:v>
      </x:c>
      <x:c r="B7" s="15" t="str">
        <x:f>IF('排程时间线'!E7="","",'排程时间线'!E7)</x:f>
      </x:c>
      <x:c r="C7" s="15" t="n">
        <x:f>IF('排程时间线'!C7="","",'排程时间线'!C7)</x:f>
        <x:v>2</x:v>
      </x:c>
      <x:c r="D7" s="84"/>
      <x:c r="E7" s="84"/>
      <x:c r="F7" s="84"/>
      <x:c r="G7" s="84"/>
      <x:c r="H7" s="84"/>
      <x:c r="I7" s="84"/>
      <x:c r="J7" s="78" t="n">
        <x:v>0.3</x:v>
      </x:c>
      <x:c r="K7" s="84"/>
      <x:c r="L7" s="84"/>
      <x:c r="M7" s="84"/>
      <x:c r="N7" s="84"/>
      <x:c r="O7" s="84"/>
      <x:c r="P7" s="84"/>
      <x:c r="Q7" s="84"/>
      <x:c r="R7" s="84"/>
      <x:c r="S7" s="84"/>
      <x:c r="T7" s="84"/>
      <x:c r="U7" s="84"/>
      <x:c r="V7" s="84"/>
      <x:c r="W7" s="84"/>
    </x:row>
    <x:row r="8">
      <x:c r="A8" s="15" t="n">
        <x:v>5</x:v>
      </x:c>
      <x:c r="B8" s="15" t="str">
        <x:f>IF('排程时间线'!E8="","",'排程时间线'!E8)</x:f>
      </x:c>
      <x:c r="C8" s="15" t="n">
        <x:f>IF('排程时间线'!C8="","",'排程时间线'!C8)</x:f>
        <x:v>2</x:v>
      </x:c>
      <x:c r="D8" s="84"/>
      <x:c r="E8" s="84"/>
      <x:c r="F8" s="84"/>
      <x:c r="G8" s="84"/>
      <x:c r="H8" s="84"/>
      <x:c r="I8" s="84"/>
      <x:c r="J8" s="78" t="n">
        <x:v>0.3</x:v>
      </x:c>
      <x:c r="K8" s="84"/>
      <x:c r="L8" s="84"/>
      <x:c r="M8" s="84"/>
      <x:c r="N8" s="84"/>
      <x:c r="O8" s="84"/>
      <x:c r="P8" s="84"/>
      <x:c r="Q8" s="84"/>
      <x:c r="R8" s="84"/>
      <x:c r="S8" s="84"/>
      <x:c r="T8" s="84"/>
      <x:c r="U8" s="84"/>
      <x:c r="V8" s="84"/>
      <x:c r="W8" s="84"/>
    </x:row>
    <x:row r="9">
      <x:c r="A9" s="15" t="n">
        <x:v>6</x:v>
      </x:c>
      <x:c r="B9" s="15" t="str">
        <x:f>IF('排程时间线'!E9="","",'排程时间线'!E9)</x:f>
      </x:c>
      <x:c r="C9" s="15" t="n">
        <x:f>IF('排程时间线'!C9="","",'排程时间线'!C9)</x:f>
        <x:v>2</x:v>
      </x:c>
      <x:c r="D9" s="84"/>
      <x:c r="E9" s="84"/>
      <x:c r="F9" s="84"/>
      <x:c r="G9" s="84"/>
      <x:c r="H9" s="84"/>
      <x:c r="I9" s="84"/>
      <x:c r="J9" s="78" t="n">
        <x:v>0.3</x:v>
      </x:c>
      <x:c r="K9" s="84"/>
      <x:c r="L9" s="84"/>
      <x:c r="M9" s="84"/>
      <x:c r="N9" s="84"/>
      <x:c r="O9" s="84"/>
      <x:c r="P9" s="84"/>
      <x:c r="Q9" s="84"/>
      <x:c r="R9" s="84"/>
      <x:c r="S9" s="84"/>
      <x:c r="T9" s="84"/>
      <x:c r="U9" s="84"/>
      <x:c r="V9" s="84"/>
      <x:c r="W9" s="84"/>
    </x:row>
    <x:row r="10">
      <x:c r="A10" s="15" t="n">
        <x:v>7</x:v>
      </x:c>
      <x:c r="B10" s="15" t="n">
        <x:f>IF('排程时间线'!E10="","",'排程时间线'!E10)</x:f>
        <x:v>1</x:v>
      </x:c>
      <x:c r="C10" s="15" t="n">
        <x:f>IF('排程时间线'!C10="","",'排程时间线'!C10)</x:f>
        <x:v>1</x:v>
      </x:c>
      <x:c r="D10" s="84"/>
      <x:c r="E10" s="84"/>
      <x:c r="F10" s="84"/>
      <x:c r="G10" s="84"/>
      <x:c r="H10" s="84"/>
      <x:c r="I10" s="84"/>
      <x:c r="J10" s="78" t="n">
        <x:v>0.3</x:v>
      </x:c>
      <x:c r="K10" s="84"/>
      <x:c r="L10" s="84"/>
      <x:c r="M10" s="84"/>
      <x:c r="N10" s="84"/>
      <x:c r="O10" s="84"/>
      <x:c r="P10" s="84"/>
      <x:c r="Q10" s="84"/>
      <x:c r="R10" s="84"/>
      <x:c r="S10" s="84"/>
      <x:c r="T10" s="84"/>
      <x:c r="U10" s="84"/>
      <x:c r="V10" s="84"/>
      <x:c r="W10" s="84"/>
    </x:row>
    <x:row r="11">
      <x:c r="A11" s="15" t="n">
        <x:v>8</x:v>
      </x:c>
      <x:c r="B11" s="15" t="n">
        <x:f>IF('排程时间线'!E11="","",'排程时间线'!E11)</x:f>
        <x:v>2</x:v>
      </x:c>
      <x:c r="C11" s="15" t="n">
        <x:f>IF('排程时间线'!C11="","",'排程时间线'!C11)</x:f>
        <x:v>1</x:v>
      </x:c>
      <x:c r="D11" s="84"/>
      <x:c r="E11" s="84"/>
      <x:c r="F11" s="84"/>
      <x:c r="G11" s="84"/>
      <x:c r="H11" s="84"/>
      <x:c r="I11" s="84"/>
      <x:c r="J11" s="78" t="n">
        <x:v>0.3</x:v>
      </x:c>
      <x:c r="K11" s="84"/>
      <x:c r="L11" s="84"/>
      <x:c r="M11" s="84"/>
      <x:c r="N11" s="84"/>
      <x:c r="O11" s="84"/>
      <x:c r="P11" s="84"/>
      <x:c r="Q11" s="84"/>
      <x:c r="R11" s="84"/>
      <x:c r="S11" s="84"/>
      <x:c r="T11" s="84"/>
      <x:c r="U11" s="84"/>
      <x:c r="V11" s="84"/>
      <x:c r="W11" s="84"/>
    </x:row>
    <x:row r="12">
      <x:c r="A12" s="15" t="n">
        <x:v>9</x:v>
      </x:c>
      <x:c r="B12" s="15" t="str">
        <x:f>IF('排程时间线'!E12="","",'排程时间线'!E12)</x:f>
      </x:c>
      <x:c r="C12" s="15" t="n">
        <x:f>IF('排程时间线'!C12="","",'排程时间线'!C12)</x:f>
        <x:v>2</x:v>
      </x:c>
      <x:c r="D12" s="84"/>
      <x:c r="E12" s="84"/>
      <x:c r="F12" s="84"/>
      <x:c r="G12" s="84"/>
      <x:c r="H12" s="84"/>
      <x:c r="I12" s="84"/>
      <x:c r="J12" s="78" t="n">
        <x:v>0.3</x:v>
      </x:c>
      <x:c r="K12" s="84"/>
      <x:c r="L12" s="84"/>
      <x:c r="M12" s="84"/>
      <x:c r="N12" s="84"/>
      <x:c r="O12" s="84"/>
      <x:c r="P12" s="84"/>
      <x:c r="Q12" s="84"/>
      <x:c r="R12" s="84"/>
      <x:c r="S12" s="84"/>
      <x:c r="T12" s="84"/>
      <x:c r="U12" s="84"/>
      <x:c r="V12" s="84"/>
      <x:c r="W12" s="84"/>
    </x:row>
    <x:row r="13">
      <x:c r="A13" s="15" t="n">
        <x:v>10</x:v>
      </x:c>
      <x:c r="B13" s="15" t="str">
        <x:f>IF('排程时间线'!E13="","",'排程时间线'!E13)</x:f>
      </x:c>
      <x:c r="C13" s="15" t="n">
        <x:f>IF('排程时间线'!C13="","",'排程时间线'!C13)</x:f>
        <x:v>2</x:v>
      </x:c>
      <x:c r="D13" s="84"/>
      <x:c r="E13" s="84"/>
      <x:c r="F13" s="84"/>
      <x:c r="G13" s="84"/>
      <x:c r="H13" s="84"/>
      <x:c r="I13" s="84"/>
      <x:c r="J13" s="78" t="n">
        <x:v>0.3</x:v>
      </x:c>
      <x:c r="K13" s="84"/>
      <x:c r="L13" s="84"/>
      <x:c r="M13" s="84"/>
      <x:c r="N13" s="84"/>
      <x:c r="O13" s="84"/>
      <x:c r="P13" s="84"/>
      <x:c r="Q13" s="84"/>
      <x:c r="R13" s="84"/>
      <x:c r="S13" s="84"/>
      <x:c r="T13" s="84"/>
      <x:c r="U13" s="84"/>
      <x:c r="V13" s="84"/>
      <x:c r="W13" s="84"/>
    </x:row>
    <x:row r="16">
      <x:c r="A16" s="20" t="str">
        <x:v>填写提示：ST/SUT来自“输入_工件”；MS和机器功率来自“输入_机器”；WE、lambda、成本率来自“输入_工人”。恢复使用的mu属于该工人上一项任务所在阶段；若该工人从未执行过任务，则恢复时长为0。actualSET会因疲劳倍率改变，但标准SUT仍不读取前序工件。</x:v>
      </x:c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</x:row>
  </x:sheetData>
  <x:mergeCells>
    <x:mergeCell ref="A1:W1"/>
    <x:mergeCell ref="A16:W2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27" hidden="0" customWidth="1"/>
    <x:col min="4" max="4" width="18" hidden="0" customWidth="1"/>
    <x:col min="5" max="5" width="14" hidden="0" customWidth="1"/>
    <x:col min="6" max="6" width="50" hidden="0" customWidth="1"/>
    <x:col min="7" max="7" width="18" hidden="0" customWidth="1"/>
  </x:cols>
  <x:sheetData>
    <x:row r="1" ht="30" customHeight="1">
      <x:c r="A1" s="4" t="str">
        <x:v>目标与疲劳指标重建（不含程序答案）</x:v>
      </x:c>
      <x:c r="B1" s="4" t="str">
        <x:v>目标与疲劳指标重建（不含程序答案）</x:v>
      </x:c>
      <x:c r="C1" s="4" t="str">
        <x:v>目标与疲劳指标重建（不含程序答案）</x:v>
      </x:c>
      <x:c r="D1" s="4" t="str">
        <x:v>目标与疲劳指标重建（不含程序答案）</x:v>
      </x:c>
      <x:c r="E1" s="4" t="str">
        <x:v>目标与疲劳指标重建（不含程序答案）</x:v>
      </x:c>
      <x:c r="F1" s="4" t="str">
        <x:v>目标与疲劳指标重建（不含程序答案）</x:v>
      </x:c>
      <x:c r="G1" s="4" t="str">
        <x:v>目标与疲劳指标重建（不含程序答案）</x:v>
      </x:c>
    </x:row>
    <x:row r="3">
      <x:c r="A3" s="10" t="str">
        <x:v>指标</x:v>
      </x:c>
      <x:c r="B3" s="10" t="str">
        <x:v>本人手算值</x:v>
      </x:c>
      <x:c r="C3" s="10" t="str">
        <x:v>由本人填写行关系得到的表内值</x:v>
      </x:c>
      <x:c r="D3" s="10" t="str">
        <x:v>误差</x:v>
      </x:c>
      <x:c r="E3" s="10" t="str">
        <x:v>状态</x:v>
      </x:c>
      <x:c r="F3" s="10" t="str">
        <x:v>当前代码口径</x:v>
      </x:c>
      <x:c r="G3" s="10" t="str">
        <x:v>是否论文主目标</x:v>
      </x:c>
    </x:row>
    <x:row r="4">
      <x:c r="A4" s="15" t="str">
        <x:v>Cmax</x:v>
      </x:c>
      <x:c r="B4" s="84"/>
      <x:c r="C4" s="97" t="str">
        <x:f>IF(COUNT('排程时间线'!O4:O13)=0,"",MAX('排程时间线'!O4:O13))</x:f>
      </x:c>
      <x:c r="D4" s="97" t="str">
        <x:f>IF(OR(B4="",C4=""),"",ABS(B4-C4))</x:f>
      </x:c>
      <x:c r="E4" s="91" t="str">
        <x:f>IF(D4="","未填",IF(D4&lt;=1E-9,"PASS","CHECK"))</x:f>
        <x:v>未填</x:v>
      </x:c>
      <x:c r="F4" s="20" t="str">
        <x:v>10道工序结束时间最大值</x:v>
      </x:c>
      <x:c r="G4" s="20" t="str">
        <x:v>是</x:v>
      </x:c>
    </x:row>
    <x:row r="5">
      <x:c r="A5" s="15" t="str">
        <x:v>TEC</x:v>
      </x:c>
      <x:c r="B5" s="84"/>
      <x:c r="C5" s="97" t="str">
        <x:f>IF(COUNT('工时疲劳能耗'!U4:U13)=0,"",SUM('工时疲劳能耗'!U4:U13))</x:f>
      </x:c>
      <x:c r="D5" s="97" t="str">
        <x:f>IF(OR(B5="",C5=""),"",ABS(B5-C5))</x:f>
      </x:c>
      <x:c r="E5" s="91" t="str">
        <x:f>IF(D5="","未填",IF(D5&lt;=1E-9,"PASS","CHECK"))</x:f>
        <x:v>未填</x:v>
      </x:c>
      <x:c r="F5" s="20" t="str">
        <x:v>10道工序Energy之和</x:v>
      </x:c>
      <x:c r="G5" s="20" t="str">
        <x:v>是</x:v>
      </x:c>
    </x:row>
    <x:row r="6">
      <x:c r="A6" s="15" t="str">
        <x:v>TWC</x:v>
      </x:c>
      <x:c r="B6" s="84"/>
      <x:c r="C6" s="97" t="str">
        <x:f>IF(COUNT('工时疲劳能耗'!W4:W13)=0,"",SUM('工时疲劳能耗'!W4:W13))</x:f>
      </x:c>
      <x:c r="D6" s="97" t="str">
        <x:f>IF(OR(B6="",C6=""),"",ABS(B6-C6))</x:f>
      </x:c>
      <x:c r="E6" s="91" t="str">
        <x:f>IF(D6="","未填",IF(D6&lt;=1E-9,"PASS","CHECK"))</x:f>
        <x:v>未填</x:v>
      </x:c>
      <x:c r="F6" s="20" t="str">
        <x:v>10道工序Cost之和</x:v>
      </x:c>
      <x:c r="G6" s="20" t="str">
        <x:v>是</x:v>
      </x:c>
    </x:row>
    <x:row r="7">
      <x:c r="A7" s="15" t="str">
        <x:v>Fmax</x:v>
      </x:c>
      <x:c r="B7" s="84"/>
      <x:c r="C7" s="97" t="str">
        <x:f>IF(COUNT('工时疲劳能耗'!R4:R13)=0,"",MAX('工时疲劳能耗'!R4:R13))</x:f>
      </x:c>
      <x:c r="D7" s="97" t="str">
        <x:f>IF(OR(B7="",C7=""),"",ABS(B7-C7))</x:f>
      </x:c>
      <x:c r="E7" s="91" t="str">
        <x:f>IF(D7="","未填",IF(D7&lt;=1E-9,"PASS","CHECK"))</x:f>
        <x:v>未填</x:v>
      </x:c>
      <x:c r="F7" s="20" t="str">
        <x:v>10道工序Fafter最大值</x:v>
      </x:c>
      <x:c r="G7" s="20" t="str">
        <x:v>否，诊断</x:v>
      </x:c>
    </x:row>
    <x:row r="8">
      <x:c r="A8" s="15" t="str">
        <x:v>Favg</x:v>
      </x:c>
      <x:c r="B8" s="84"/>
      <x:c r="C8" s="97" t="str">
        <x:f>IF(COUNT('工时疲劳能耗'!R4:R13)=0,"",AVERAGE('工时疲劳能耗'!R4:R13))</x:f>
      </x:c>
      <x:c r="D8" s="97" t="str">
        <x:f>IF(OR(B8="",C8=""),"",ABS(B8-C8))</x:f>
      </x:c>
      <x:c r="E8" s="91" t="str">
        <x:f>IF(D8="","未填",IF(D8&lt;=1E-9,"PASS","CHECK"))</x:f>
        <x:v>未填</x:v>
      </x:c>
      <x:c r="F8" s="20" t="str">
        <x:v>10道工序Fafter平均值</x:v>
      </x:c>
      <x:c r="G8" s="20" t="str">
        <x:v>否，诊断</x:v>
      </x:c>
    </x:row>
    <x:row r="9">
      <x:c r="A9" s="15" t="str">
        <x:v>自然恢复总时长</x:v>
      </x:c>
      <x:c r="B9" s="84"/>
      <x:c r="C9" s="97" t="str">
        <x:f>IF(COUNT('排程时间线'!L4:L13)=0,"",SUM('排程时间线'!L4:L13))</x:f>
      </x:c>
      <x:c r="D9" s="97" t="str">
        <x:f>IF(OR(B9="",C9=""),"",ABS(B9-C9))</x:f>
      </x:c>
      <x:c r="E9" s="91" t="str">
        <x:f>IF(D9="","未填",IF(D9&lt;=1E-9,"PASS","CHECK"))</x:f>
        <x:v>未填</x:v>
      </x:c>
      <x:c r="F9" s="20" t="str">
        <x:v>任务间正空闲之和；不含初始和尾部</x:v>
      </x:c>
      <x:c r="G9" s="20" t="str">
        <x:v>否，诊断</x:v>
      </x:c>
    </x:row>
    <x:row r="10">
      <x:c r="A10" s="15" t="str">
        <x:v>机器空闲总时长</x:v>
      </x:c>
      <x:c r="B10" s="84"/>
      <x:c r="C10" s="97" t="str">
        <x:f>IF(COUNT('排程时间线'!P4:P13)=0,"",SUM('排程时间线'!P4:P13))</x:f>
      </x:c>
      <x:c r="D10" s="97" t="str">
        <x:f>IF(OR(B10="",C10=""),"",ABS(B10-C10))</x:f>
      </x:c>
      <x:c r="E10" s="91" t="str">
        <x:f>IF(D10="","未填",IF(D10&lt;=1E-9,"PASS","CHECK"))</x:f>
        <x:v>未填</x:v>
      </x:c>
      <x:c r="F10" s="20" t="str">
        <x:v>各已使用机器相邻任务间正空闲之和</x:v>
      </x:c>
      <x:c r="G10" s="20" t="str">
        <x:v>中间量</x:v>
      </x:c>
    </x:row>
    <x:row r="11">
      <x:c r="A11" s="15" t="str">
        <x:v>FE疲劳超阈积分</x:v>
      </x:c>
      <x:c r="B11" s="84"/>
      <x:c r="C11" s="97" t="str">
        <x:v>本人按定义计算</x:v>
      </x:c>
      <x:c r="D11" s="97"/>
      <x:c r="E11" s="91" t="str">
        <x:v>待填</x:v>
      </x:c>
      <x:c r="F11" s="20" t="str">
        <x:v>工作+恢复+尾部高于Fwarn部分的解析积分</x:v>
      </x:c>
      <x:c r="G11" s="20" t="str">
        <x:v>否，诊断</x:v>
      </x:c>
    </x:row>
    <x:row r="12">
      <x:c r="A12" s="15" t="str">
        <x:v>Var(Fw)</x:v>
      </x:c>
      <x:c r="B12" s="84"/>
      <x:c r="C12" s="97" t="str">
        <x:v>本人按定义计算</x:v>
      </x:c>
      <x:c r="D12" s="97"/>
      <x:c r="E12" s="91" t="str">
        <x:v>待填</x:v>
      </x:c>
      <x:c r="F12" s="20" t="str">
        <x:v>Cmax时各合法工人疲劳的总体方差</x:v>
      </x:c>
      <x:c r="G12" s="20" t="str">
        <x:v>否，诊断</x:v>
      </x:c>
    </x:row>
    <x:row r="13">
      <x:c r="A13" s="15" t="str">
        <x:v>高疲劳比例</x:v>
      </x:c>
      <x:c r="B13" s="84"/>
      <x:c r="C13" s="97" t="str">
        <x:v>本人按定义计算</x:v>
      </x:c>
      <x:c r="D13" s="97"/>
      <x:c r="E13" s="91" t="str">
        <x:v>待填</x:v>
      </x:c>
      <x:c r="F13" s="20" t="str">
        <x:v>高于Fwarn的工人时间/(工人数×Cmax)</x:v>
      </x:c>
      <x:c r="G13" s="20" t="str">
        <x:v>否，诊断</x:v>
      </x:c>
    </x:row>
    <x:row r="14">
      <x:c r="A14" s="15" t="str">
        <x:v>最长连续工作</x:v>
      </x:c>
      <x:c r="B14" s="84"/>
      <x:c r="C14" s="97" t="str">
        <x:v>本人按定义计算</x:v>
      </x:c>
      <x:c r="D14" s="97"/>
      <x:c r="E14" s="91" t="str">
        <x:v>待填</x:v>
      </x:c>
      <x:c r="F14" s="20" t="str">
        <x:v>同一工人零间隙连续实际AT之和最大值</x:v>
      </x:c>
      <x:c r="G14" s="20" t="str">
        <x:v>否，诊断</x:v>
      </x:c>
    </x:row>
    <x:row r="17">
      <x:c r="A17" s="20" t="str">
        <x:v>表内值只由你填写的逐工序结果汇总，不是Java程序输出。完成后仍需将工作簿提交并冻结SHA-256，再由程序生成manual_vs_program逐项对照。</x:v>
      </x:c>
      <x:c r="B17" s="20"/>
      <x:c r="C17" s="20"/>
      <x:c r="D17" s="20"/>
      <x:c r="E17" s="20"/>
      <x:c r="F17" s="20"/>
      <x:c r="G17" s="20"/>
    </x:row>
    <x:row r="18">
      <x:c r="A18" s="20"/>
      <x:c r="B18" s="20"/>
      <x:c r="C18" s="20"/>
      <x:c r="D18" s="20"/>
      <x:c r="E18" s="20"/>
      <x:c r="F18" s="20"/>
      <x:c r="G18" s="20"/>
    </x:row>
    <x:row r="19">
      <x:c r="A19" s="20"/>
      <x:c r="B19" s="20"/>
      <x:c r="C19" s="20"/>
      <x:c r="D19" s="20"/>
      <x:c r="E19" s="20"/>
      <x:c r="F19" s="20"/>
      <x:c r="G19" s="20"/>
    </x:row>
    <x:row r="20">
      <x:c r="A20" s="20"/>
      <x:c r="B20" s="20"/>
      <x:c r="C20" s="20"/>
      <x:c r="D20" s="20"/>
      <x:c r="E20" s="20"/>
      <x:c r="F20" s="20"/>
      <x:c r="G20" s="20"/>
    </x:row>
  </x:sheetData>
  <x:mergeCells>
    <x:mergeCell ref="A1:G1"/>
    <x:mergeCell ref="A17:G2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34" hidden="0" customWidth="1"/>
    <x:col min="4" max="4" width="38" hidden="0" customWidth="1"/>
    <x:col min="5" max="5" width="16" hidden="0" customWidth="1"/>
    <x:col min="6" max="6" width="30" hidden="0" customWidth="1"/>
  </x:cols>
  <x:sheetData>
    <x:row r="1" ht="30" customHeight="1">
      <x:c r="A1" s="4" t="str">
        <x:v>本人提交前检查</x:v>
      </x:c>
      <x:c r="B1" s="4" t="str">
        <x:v>本人提交前检查</x:v>
      </x:c>
      <x:c r="C1" s="4" t="str">
        <x:v>本人提交前检查</x:v>
      </x:c>
      <x:c r="D1" s="4" t="str">
        <x:v>本人提交前检查</x:v>
      </x:c>
      <x:c r="E1" s="4" t="str">
        <x:v>本人提交前检查</x:v>
      </x:c>
      <x:c r="F1" s="4" t="str">
        <x:v>本人提交前检查</x:v>
      </x:c>
    </x:row>
    <x:row r="3">
      <x:c r="A3" s="10" t="str">
        <x:v>检查项</x:v>
      </x:c>
      <x:c r="B3" s="10" t="str">
        <x:v>本人填写</x:v>
      </x:c>
      <x:c r="C3" s="10" t="str">
        <x:v>要求</x:v>
      </x:c>
      <x:c r="D3" s="10" t="str">
        <x:v>为什么</x:v>
      </x:c>
      <x:c r="E3" s="10" t="str">
        <x:v>状态</x:v>
      </x:c>
      <x:c r="F3" s="10" t="str">
        <x:v>备注</x:v>
      </x:c>
    </x:row>
    <x:row r="4">
      <x:c r="A4" s="15" t="str">
        <x:v>第一道工序</x:v>
      </x:c>
      <x:c r="B4" s="84"/>
      <x:c r="C4" s="20" t="str">
        <x:v>绿色检查全部PASS</x:v>
      </x:c>
      <x:c r="D4" s="20" t="str">
        <x:v>先掌握公式</x:v>
      </x:c>
      <x:c r="E4" s="84"/>
      <x:c r="F4" s="84"/>
    </x:row>
    <x:row r="5">
      <x:c r="A5" s="15" t="str">
        <x:v>5个位置解码</x:v>
      </x:c>
      <x:c r="B5" s="84"/>
      <x:c r="C5" s="20" t="str">
        <x:v>确认JS/FA/MA/WA身份映射</x:v>
      </x:c>
      <x:c r="D5" s="20" t="str">
        <x:v>防止位置当工件号</x:v>
      </x:c>
      <x:c r="E5" s="84"/>
      <x:c r="F5" s="84"/>
    </x:row>
    <x:row r="6">
      <x:c r="A6" s="15" t="str">
        <x:v>第一阶段</x:v>
      </x:c>
      <x:c r="B6" s="84"/>
      <x:c r="C6" s="20" t="str">
        <x:v>5道工序完整</x:v>
      </x:c>
      <x:c r="D6" s="20" t="str">
        <x:v>建立后续阶段前序时间</x:v>
      </x:c>
      <x:c r="E6" s="84"/>
      <x:c r="F6" s="84"/>
    </x:row>
    <x:row r="7">
      <x:c r="A7" s="15" t="str">
        <x:v>第二阶段顺序</x:v>
      </x:c>
      <x:c r="B7" s="84"/>
      <x:c r="C7" s="20" t="str">
        <x:v>两个工厂分别排序</x:v>
      </x:c>
      <x:c r="D7" s="20" t="str">
        <x:v>执行ECT/FIFO</x:v>
      </x:c>
      <x:c r="E7" s="84"/>
      <x:c r="F7" s="84"/>
    </x:row>
    <x:row r="8">
      <x:c r="A8" s="15" t="str">
        <x:v>第二阶段候选</x:v>
      </x:c>
      <x:c r="B8" s="84"/>
      <x:c r="C8" s="20" t="str">
        <x:v>每个工件比较两个合法工人</x:v>
      </x:c>
      <x:c r="D8" s="20" t="str">
        <x:v>执行FM3疲劳选工</x:v>
      </x:c>
      <x:c r="E8" s="84"/>
      <x:c r="F8" s="84"/>
    </x:row>
    <x:row r="9">
      <x:c r="A9" s="15" t="str">
        <x:v>完整排程</x:v>
      </x:c>
      <x:c r="B9" s="84"/>
      <x:c r="C9" s="20" t="str">
        <x:v>共10道工序</x:v>
      </x:c>
      <x:c r="D9" s="20" t="str">
        <x:v>重建全部资源时间线</x:v>
      </x:c>
      <x:c r="E9" s="84"/>
      <x:c r="F9" s="84"/>
    </x:row>
    <x:row r="10">
      <x:c r="A10" s="15" t="str">
        <x:v>机器无重叠</x:v>
      </x:c>
      <x:c r="B10" s="84"/>
      <x:c r="C10" s="20" t="str">
        <x:v>逐机器检查</x:v>
      </x:c>
      <x:c r="D10" s="20" t="str">
        <x:v>调度可行性</x:v>
      </x:c>
      <x:c r="E10" s="84"/>
      <x:c r="F10" s="84"/>
    </x:row>
    <x:row r="11">
      <x:c r="A11" s="15" t="str">
        <x:v>工人无重叠</x:v>
      </x:c>
      <x:c r="B11" s="84"/>
      <x:c r="C11" s="20" t="str">
        <x:v>逐工厂工人检查</x:v>
      </x:c>
      <x:c r="D11" s="20" t="str">
        <x:v>调度可行性</x:v>
      </x:c>
      <x:c r="E11" s="84"/>
      <x:c r="F11" s="84"/>
    </x:row>
    <x:row r="12">
      <x:c r="A12" s="15" t="str">
        <x:v>工件前序</x:v>
      </x:c>
      <x:c r="B12" s="84"/>
      <x:c r="C12" s="20" t="str">
        <x:v>S2开始≥S1结束</x:v>
      </x:c>
      <x:c r="D12" s="20" t="str">
        <x:v>工艺约束</x:v>
      </x:c>
      <x:c r="E12" s="84"/>
      <x:c r="F12" s="84"/>
    </x:row>
    <x:row r="13">
      <x:c r="A13" s="15" t="str">
        <x:v>Cmax/TEC/TWC</x:v>
      </x:c>
      <x:c r="B13" s="84"/>
      <x:c r="C13" s="20" t="str">
        <x:v>本人值和表内关系值一致</x:v>
      </x:c>
      <x:c r="D13" s="20" t="str">
        <x:v>目标重建</x:v>
      </x:c>
      <x:c r="E13" s="84"/>
      <x:c r="F13" s="84"/>
    </x:row>
    <x:row r="14">
      <x:c r="A14" s="15" t="str">
        <x:v>未使用旧Shift结果</x:v>
      </x:c>
      <x:c r="B14" s="84"/>
      <x:c r="C14" s="20" t="str">
        <x:v>确认</x:v>
      </x:c>
      <x:c r="D14" s="20" t="str">
        <x:v>当前ShiftMode=NONE</x:v>
      </x:c>
      <x:c r="E14" s="84"/>
      <x:c r="F14" s="84"/>
    </x:row>
    <x:row r="15">
      <x:c r="A15" s="15" t="str">
        <x:v>本人声明</x:v>
      </x:c>
      <x:c r="B15" s="84"/>
      <x:c r="C15" s="20" t="str">
        <x:v>该表由本人独立手算</x:v>
      </x:c>
      <x:c r="D15" s="20" t="str">
        <x:v>导师验收</x:v>
      </x:c>
      <x:c r="E15" s="84"/>
      <x:c r="F15" s="84"/>
    </x:row>
    <x:row r="18">
      <x:c r="A18" s="10" t="str">
        <x:v>提交信息</x:v>
      </x:c>
      <x:c r="B18" s="10" t="str">
        <x:v>本人填写</x:v>
      </x:c>
    </x:row>
    <x:row r="19">
      <x:c r="A19" s="15" t="str">
        <x:v>姓名</x:v>
      </x:c>
      <x:c r="B19" s="84"/>
    </x:row>
    <x:row r="20">
      <x:c r="A20" s="15" t="str">
        <x:v>完成日期</x:v>
      </x:c>
      <x:c r="B20" s="84"/>
    </x:row>
    <x:row r="21">
      <x:c r="A21" s="15" t="str">
        <x:v>提交文件SHA-256</x:v>
      </x:c>
      <x:c r="B21" s="84"/>
    </x:row>
    <x:row r="22">
      <x:c r="A22" s="15" t="str">
        <x:v>程序答案解锁状态</x:v>
      </x:c>
      <x:c r="B22" s="20" t="str">
        <x:v>提交并冻结SHA-256后才允许生成</x:v>
      </x:c>
    </x:row>
  </x:sheetData>
  <x:mergeCells>
    <x:mergeCell ref="A1:F1"/>
  </x:mergeCells>
  <x:dataValidations count="2">
    <x:dataValidation type="list" sqref="B4:B15">
      <x:formula1>"完成,未完成"</x:formula1>
    </x:dataValidation>
    <x:dataValidation type="list" sqref="E4:E15">
      <x:formula1>"PASS,CHECK"</x:formula1>
    </x:dataValidation>
  </x:dataValidations>
  <x:pageMargins left="0.7" right="0.7" top="0.75" bottom="0.75" header="0.3" footer="0.3"/>
</x:worksheet>
</file>